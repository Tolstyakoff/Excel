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2025_2026\_Кастдев\12 Ангелина (тарктора)\"/>
    </mc:Choice>
  </mc:AlternateContent>
  <bookViews>
    <workbookView xWindow="0" yWindow="0" windowWidth="23040" windowHeight="1064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9" i="1" l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<sst xmlns="http://schemas.openxmlformats.org/spreadsheetml/2006/main" count="810" uniqueCount="113">
  <si>
    <t>28.30 Производство машин и оборудования для сельского и лесного хозяйства</t>
  </si>
  <si>
    <t>28.30.1 Производство тракторов, управляемых рядом идущим водителем</t>
  </si>
  <si>
    <t>28.30.2 Производство тракторов для сельского хозяйства</t>
  </si>
  <si>
    <t>28.30.3 Производство машин и сельскохозяйственного оборудования для обработки почвы</t>
  </si>
  <si>
    <t>28.30.5 Производство машин для уборки урожая</t>
  </si>
  <si>
    <t>Год</t>
  </si>
  <si>
    <t>Федеральный округ</t>
  </si>
  <si>
    <t>Регион</t>
  </si>
  <si>
    <t>Вся отрасль СХ + Лес</t>
  </si>
  <si>
    <t>Трактора без водителя</t>
  </si>
  <si>
    <t>Трактора для  с/х</t>
  </si>
  <si>
    <t xml:space="preserve">Машины и оборудование  для обработки почвы
</t>
  </si>
  <si>
    <t xml:space="preserve">Машины для уборки урожая 
</t>
  </si>
  <si>
    <t>Другое</t>
  </si>
  <si>
    <t xml:space="preserve">Дальневосточный </t>
  </si>
  <si>
    <t>Амурская область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</si>
  <si>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</si>
  <si>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</si>
  <si>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</si>
  <si>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</si>
  <si>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</si>
  <si>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</si>
  <si>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</si>
  <si>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</si>
  <si>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</si>
  <si>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Чукотский автономный округ</t>
  </si>
  <si>
    <t xml:space="preserve">Приволжский 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</si>
  <si>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</si>
  <si>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</si>
  <si>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</si>
  <si>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</si>
  <si>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</si>
  <si>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</si>
  <si>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</si>
  <si>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</si>
  <si>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</si>
  <si>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</si>
  <si>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</si>
  <si>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</si>
  <si>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</si>
  <si>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</si>
  <si>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 xml:space="preserve">Северо-Западный 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</si>
  <si>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</si>
  <si>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</si>
  <si>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</si>
  <si>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</si>
  <si>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</si>
  <si>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Ненецкий автономный округ</t>
  </si>
  <si>
    <t>Новгородская область</t>
  </si>
  <si>
    <t>Псковская область</t>
  </si>
  <si>
    <t>Республика Карелия</t>
  </si>
  <si>
    <t>Республика Коми</t>
  </si>
  <si>
    <t>г. Санкт-Петербург</t>
  </si>
  <si>
    <t xml:space="preserve">Северо-Кавказский </t>
  </si>
  <si>
    <t>Кабардино-Балкарская Республика</t>
  </si>
  <si>
    <t>Карачаево-Черкесская Республика</t>
  </si>
  <si>
    <t>Республика Дагестан</t>
  </si>
  <si>
    <t>Республика Ингушетия</t>
  </si>
  <si>
    <t>Республика Северная Осетия-Алания</t>
  </si>
  <si>
    <t>Ставропольский край</t>
  </si>
  <si>
    <t>Чеченская Республика</t>
  </si>
  <si>
    <t xml:space="preserve">Сибирский 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</si>
  <si>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</si>
  <si>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</si>
  <si>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</si>
  <si>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</si>
  <si>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</si>
  <si>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</si>
  <si>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</si>
  <si>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</si>
  <si>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</si>
  <si>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</si>
  <si>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 xml:space="preserve">Уральский 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</si>
  <si>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</si>
  <si>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</si>
  <si>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</si>
  <si>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</si>
  <si>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Челябинская область</t>
  </si>
  <si>
    <t>Ямало-Ненецкий автономный округ</t>
  </si>
  <si>
    <t xml:space="preserve">Центральный 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</si>
  <si>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</si>
  <si>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</si>
  <si>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</si>
  <si>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</si>
  <si>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</si>
  <si>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</si>
  <si>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</si>
  <si>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</si>
  <si>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</si>
  <si>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</si>
  <si>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</si>
  <si>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</si>
  <si>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</si>
  <si>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</si>
  <si>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</si>
  <si>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</si>
  <si>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</si>
  <si>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</si>
  <si>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Юго-Зап. терр.</t>
  </si>
  <si>
    <t>Донецкая Народная Республика</t>
  </si>
  <si>
    <t>Запорожская область</t>
  </si>
  <si>
    <t>Луганская Народная Республика</t>
  </si>
  <si>
    <t>Херсонская область</t>
  </si>
  <si>
    <t xml:space="preserve">Южный </t>
  </si>
  <si>
    <t>Астраханская область</t>
  </si>
  <si>
    <t>Волгоградская область</t>
  </si>
  <si>
    <t>Краснодарский край</t>
  </si>
  <si>
    <t>Республика Адыгея</t>
  </si>
  <si>
    <t>Республика Калмыкия</t>
  </si>
  <si>
    <t>Республика Крым</t>
  </si>
  <si>
    <t>Ростовская область</t>
  </si>
  <si>
    <t>г. Севастополь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</si>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</sst>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"/>
  <sheetViews>
    <sheetView tabSelected="1" workbookViewId="0">
      <selection sqref="A1:XFD1048576"/>
    </sheetView>
  </sheetViews>
  <sheetFormatPr defaultRowHeight="14.4" x14ac:dyDescent="0.3"/>
  <cols>
    <col min="1" max="1" width="5.5546875" customWidth="1"/>
    <col min="2" max="2" width="19" customWidth="1"/>
    <col min="3" max="3" width="17" customWidth="1"/>
    <col min="4" max="8" width="13" customWidth="1"/>
  </cols>
  <sheetData>
    <row r="1" spans="1:9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3" spans="1:9" ht="127.8" x14ac:dyDescent="0.3">
      <c r="A3" t="s">
        <v>5</v>
      </c>
      <c r="B3" t="s">
        <v>6</v>
      </c>
      <c r="C3" t="s">
        <v>7</v>
      </c>
      <c r="D3" s="1" t="s">
        <v>8</v>
      </c>
      <c r="E3" s="1" t="s">
        <v>9</v>
      </c>
      <c r="F3" s="1" t="s">
        <v>10</v>
      </c>
      <c r="G3" s="2" t="s">
        <v>11</v>
      </c>
      <c r="H3" s="2" t="s">
        <v>12</v>
      </c>
      <c r="I3" s="1" t="s">
        <v>13</v>
      </c>
    </row>
    <row r="4" spans="1:9" x14ac:dyDescent="0.3">
      <c r="A4">
        <v>2025</v>
      </c>
      <c r="B4" t="s">
        <v>14</v>
      </c>
      <c r="C4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f>D4-SUM(E4:H4)</f>
        <v>0</v>
      </c>
    </row>
    <row r="5" spans="1:9" x14ac:dyDescent="0.3">
      <c r="A5">
        <v>2025</v>
      </c>
      <c r="B5" t="s">
        <v>14</v>
      </c>
      <c r="C5" t="s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ref="I5:I68" si="0">D5-SUM(E5:H5)</f>
        <v>0</v>
      </c>
    </row>
    <row r="6" spans="1:9" x14ac:dyDescent="0.3">
      <c r="A6">
        <v>2025</v>
      </c>
      <c r="B6" t="s">
        <v>14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f t="shared" si="0"/>
        <v>0</v>
      </c>
    </row>
    <row r="7" spans="1:9" x14ac:dyDescent="0.3">
      <c r="A7">
        <v>2025</v>
      </c>
      <c r="B7" t="s">
        <v>14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0"/>
        <v>0</v>
      </c>
    </row>
    <row r="8" spans="1:9" x14ac:dyDescent="0.3">
      <c r="A8">
        <v>2025</v>
      </c>
      <c r="B8" t="s">
        <v>14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 x14ac:dyDescent="0.3">
      <c r="A9">
        <v>2025</v>
      </c>
      <c r="B9" t="s">
        <v>14</v>
      </c>
      <c r="C9" t="s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f t="shared" si="0"/>
        <v>0</v>
      </c>
    </row>
    <row r="10" spans="1:9" x14ac:dyDescent="0.3">
      <c r="A10">
        <v>2025</v>
      </c>
      <c r="B10" t="s">
        <v>14</v>
      </c>
      <c r="C10" t="s">
        <v>21</v>
      </c>
      <c r="D10">
        <v>0</v>
      </c>
      <c r="E10">
        <v>0</v>
      </c>
      <c r="F10">
        <v>0</v>
      </c>
      <c r="G10">
        <v>0</v>
      </c>
      <c r="H10">
        <v>0</v>
      </c>
      <c r="I10">
        <f t="shared" si="0"/>
        <v>0</v>
      </c>
    </row>
    <row r="11" spans="1:9" x14ac:dyDescent="0.3">
      <c r="A11">
        <v>2025</v>
      </c>
      <c r="B11" t="s">
        <v>14</v>
      </c>
      <c r="C11" t="s">
        <v>22</v>
      </c>
      <c r="D11">
        <v>45006116</v>
      </c>
      <c r="E11">
        <v>39762616</v>
      </c>
      <c r="F11">
        <v>0</v>
      </c>
      <c r="G11">
        <v>0</v>
      </c>
      <c r="H11">
        <v>0</v>
      </c>
      <c r="I11">
        <f t="shared" si="0"/>
        <v>5243500</v>
      </c>
    </row>
    <row r="12" spans="1:9" x14ac:dyDescent="0.3">
      <c r="A12">
        <v>2025</v>
      </c>
      <c r="B12" t="s">
        <v>14</v>
      </c>
      <c r="C12" t="s">
        <v>23</v>
      </c>
      <c r="D12">
        <v>0</v>
      </c>
      <c r="E12">
        <v>0</v>
      </c>
      <c r="F12">
        <v>0</v>
      </c>
      <c r="G12">
        <v>0</v>
      </c>
      <c r="H12">
        <v>0</v>
      </c>
      <c r="I12">
        <f t="shared" si="0"/>
        <v>0</v>
      </c>
    </row>
    <row r="13" spans="1:9" x14ac:dyDescent="0.3">
      <c r="A13">
        <v>2025</v>
      </c>
      <c r="B13" t="s">
        <v>14</v>
      </c>
      <c r="C13" t="s">
        <v>24</v>
      </c>
      <c r="D13">
        <v>0</v>
      </c>
      <c r="E13">
        <v>0</v>
      </c>
      <c r="F13">
        <v>0</v>
      </c>
      <c r="G13">
        <v>0</v>
      </c>
      <c r="H13">
        <v>0</v>
      </c>
      <c r="I13">
        <f t="shared" si="0"/>
        <v>0</v>
      </c>
    </row>
    <row r="14" spans="1:9" x14ac:dyDescent="0.3">
      <c r="A14">
        <v>2025</v>
      </c>
      <c r="B14" t="s">
        <v>14</v>
      </c>
      <c r="C14" t="s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 x14ac:dyDescent="0.3">
      <c r="A15">
        <v>2025</v>
      </c>
      <c r="B15" t="s">
        <v>26</v>
      </c>
      <c r="C15" t="s">
        <v>27</v>
      </c>
      <c r="D15">
        <v>25606801</v>
      </c>
      <c r="E15">
        <v>0</v>
      </c>
      <c r="F15">
        <v>0</v>
      </c>
      <c r="G15">
        <v>0</v>
      </c>
      <c r="H15">
        <v>0</v>
      </c>
      <c r="I15">
        <f t="shared" si="0"/>
        <v>25606801</v>
      </c>
    </row>
    <row r="16" spans="1:9" x14ac:dyDescent="0.3">
      <c r="A16">
        <v>2025</v>
      </c>
      <c r="B16" t="s">
        <v>26</v>
      </c>
      <c r="C16" t="s">
        <v>28</v>
      </c>
      <c r="D16">
        <v>84056191</v>
      </c>
      <c r="E16">
        <v>0</v>
      </c>
      <c r="F16">
        <v>0</v>
      </c>
      <c r="G16">
        <v>0</v>
      </c>
      <c r="H16">
        <v>0</v>
      </c>
      <c r="I16">
        <f t="shared" si="0"/>
        <v>84056191</v>
      </c>
    </row>
    <row r="17" spans="1:9" x14ac:dyDescent="0.3">
      <c r="A17">
        <v>2025</v>
      </c>
      <c r="B17" t="s">
        <v>26</v>
      </c>
      <c r="C17" t="s">
        <v>29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 x14ac:dyDescent="0.3">
      <c r="A18">
        <v>2025</v>
      </c>
      <c r="B18" t="s">
        <v>26</v>
      </c>
      <c r="C18" t="s">
        <v>30</v>
      </c>
      <c r="D18">
        <v>24479013</v>
      </c>
      <c r="E18">
        <v>0</v>
      </c>
      <c r="F18">
        <v>0</v>
      </c>
      <c r="G18">
        <v>252487</v>
      </c>
      <c r="H18">
        <v>22894234</v>
      </c>
      <c r="I18">
        <f t="shared" si="0"/>
        <v>1332292</v>
      </c>
    </row>
    <row r="19" spans="1:9" x14ac:dyDescent="0.3">
      <c r="A19">
        <v>2025</v>
      </c>
      <c r="B19" t="s">
        <v>26</v>
      </c>
      <c r="C19" t="s">
        <v>31</v>
      </c>
      <c r="D19">
        <v>22401201</v>
      </c>
      <c r="E19">
        <v>0</v>
      </c>
      <c r="F19">
        <v>0</v>
      </c>
      <c r="G19">
        <v>0</v>
      </c>
      <c r="H19">
        <v>0</v>
      </c>
      <c r="I19">
        <f t="shared" si="0"/>
        <v>22401201</v>
      </c>
    </row>
    <row r="20" spans="1:9" x14ac:dyDescent="0.3">
      <c r="A20">
        <v>2025</v>
      </c>
      <c r="B20" t="s">
        <v>26</v>
      </c>
      <c r="C20" t="s">
        <v>32</v>
      </c>
      <c r="D20">
        <v>2543900</v>
      </c>
      <c r="E20">
        <v>0</v>
      </c>
      <c r="F20">
        <v>0</v>
      </c>
      <c r="G20">
        <v>2543900</v>
      </c>
      <c r="H20">
        <v>0</v>
      </c>
      <c r="I20">
        <f t="shared" si="0"/>
        <v>0</v>
      </c>
    </row>
    <row r="21" spans="1:9" x14ac:dyDescent="0.3">
      <c r="A21">
        <v>2025</v>
      </c>
      <c r="B21" t="s">
        <v>26</v>
      </c>
      <c r="C21" t="s">
        <v>33</v>
      </c>
      <c r="D21">
        <v>1095595</v>
      </c>
      <c r="E21">
        <v>0</v>
      </c>
      <c r="F21">
        <v>0</v>
      </c>
      <c r="G21">
        <v>0</v>
      </c>
      <c r="H21">
        <v>0</v>
      </c>
      <c r="I21">
        <f t="shared" si="0"/>
        <v>1095595</v>
      </c>
    </row>
    <row r="22" spans="1:9" x14ac:dyDescent="0.3">
      <c r="A22">
        <v>2025</v>
      </c>
      <c r="B22" t="s">
        <v>26</v>
      </c>
      <c r="C22" t="s">
        <v>34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 x14ac:dyDescent="0.3">
      <c r="A23">
        <v>2025</v>
      </c>
      <c r="B23" t="s">
        <v>26</v>
      </c>
      <c r="C23" t="s">
        <v>35</v>
      </c>
      <c r="D23">
        <v>0</v>
      </c>
      <c r="E23">
        <v>0</v>
      </c>
      <c r="F23">
        <v>0</v>
      </c>
      <c r="G23">
        <v>0</v>
      </c>
      <c r="H23">
        <v>0</v>
      </c>
      <c r="I23">
        <f t="shared" si="0"/>
        <v>0</v>
      </c>
    </row>
    <row r="24" spans="1:9" x14ac:dyDescent="0.3">
      <c r="A24">
        <v>2025</v>
      </c>
      <c r="B24" t="s">
        <v>26</v>
      </c>
      <c r="C24" t="s">
        <v>36</v>
      </c>
      <c r="D24">
        <v>41544303</v>
      </c>
      <c r="E24">
        <v>0</v>
      </c>
      <c r="F24">
        <v>0</v>
      </c>
      <c r="G24">
        <v>5442529</v>
      </c>
      <c r="H24">
        <v>0</v>
      </c>
      <c r="I24">
        <f t="shared" si="0"/>
        <v>36101774</v>
      </c>
    </row>
    <row r="25" spans="1:9" x14ac:dyDescent="0.3">
      <c r="A25">
        <v>2025</v>
      </c>
      <c r="B25" t="s">
        <v>26</v>
      </c>
      <c r="C25" t="s">
        <v>37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 x14ac:dyDescent="0.3">
      <c r="A26">
        <v>2025</v>
      </c>
      <c r="B26" t="s">
        <v>26</v>
      </c>
      <c r="C26" t="s">
        <v>38</v>
      </c>
      <c r="D26">
        <v>11534241</v>
      </c>
      <c r="E26">
        <v>0</v>
      </c>
      <c r="F26">
        <v>0</v>
      </c>
      <c r="G26">
        <v>0</v>
      </c>
      <c r="H26">
        <v>0</v>
      </c>
      <c r="I26">
        <f t="shared" si="0"/>
        <v>11534241</v>
      </c>
    </row>
    <row r="27" spans="1:9" x14ac:dyDescent="0.3">
      <c r="A27">
        <v>2025</v>
      </c>
      <c r="B27" t="s">
        <v>26</v>
      </c>
      <c r="C27" t="s">
        <v>39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 x14ac:dyDescent="0.3">
      <c r="A28">
        <v>2025</v>
      </c>
      <c r="B28" t="s">
        <v>26</v>
      </c>
      <c r="C28" t="s">
        <v>40</v>
      </c>
      <c r="D28">
        <v>55954484</v>
      </c>
      <c r="E28">
        <v>0</v>
      </c>
      <c r="F28">
        <v>0</v>
      </c>
      <c r="G28">
        <v>0</v>
      </c>
      <c r="H28">
        <v>0</v>
      </c>
      <c r="I28">
        <f t="shared" si="0"/>
        <v>55954484</v>
      </c>
    </row>
    <row r="29" spans="1:9" x14ac:dyDescent="0.3">
      <c r="A29">
        <v>2025</v>
      </c>
      <c r="B29" t="s">
        <v>41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f t="shared" si="0"/>
        <v>0</v>
      </c>
    </row>
    <row r="30" spans="1:9" x14ac:dyDescent="0.3">
      <c r="A30">
        <v>2025</v>
      </c>
      <c r="B30" t="s">
        <v>41</v>
      </c>
      <c r="C30" t="s">
        <v>43</v>
      </c>
      <c r="D30">
        <v>34957075</v>
      </c>
      <c r="E30">
        <v>0</v>
      </c>
      <c r="F30">
        <v>34957075</v>
      </c>
      <c r="G30">
        <v>0</v>
      </c>
      <c r="H30">
        <v>0</v>
      </c>
      <c r="I30">
        <f t="shared" si="0"/>
        <v>0</v>
      </c>
    </row>
    <row r="31" spans="1:9" x14ac:dyDescent="0.3">
      <c r="A31">
        <v>2025</v>
      </c>
      <c r="B31" t="s">
        <v>41</v>
      </c>
      <c r="C31" t="s">
        <v>44</v>
      </c>
      <c r="D31">
        <v>0</v>
      </c>
      <c r="E31">
        <v>0</v>
      </c>
      <c r="F31">
        <v>0</v>
      </c>
      <c r="G31">
        <v>0</v>
      </c>
      <c r="H31">
        <v>0</v>
      </c>
      <c r="I31">
        <f t="shared" si="0"/>
        <v>0</v>
      </c>
    </row>
    <row r="32" spans="1:9" x14ac:dyDescent="0.3">
      <c r="A32">
        <v>2025</v>
      </c>
      <c r="B32" t="s">
        <v>41</v>
      </c>
      <c r="C32" t="s">
        <v>45</v>
      </c>
      <c r="D32">
        <v>51228814</v>
      </c>
      <c r="E32">
        <v>0</v>
      </c>
      <c r="F32">
        <v>28212401</v>
      </c>
      <c r="G32">
        <v>0</v>
      </c>
      <c r="H32">
        <v>0</v>
      </c>
      <c r="I32">
        <f t="shared" si="0"/>
        <v>23016413</v>
      </c>
    </row>
    <row r="33" spans="1:9" x14ac:dyDescent="0.3">
      <c r="A33">
        <v>2025</v>
      </c>
      <c r="B33" t="s">
        <v>41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 x14ac:dyDescent="0.3">
      <c r="A34">
        <v>2025</v>
      </c>
      <c r="B34" t="s">
        <v>41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0"/>
        <v>0</v>
      </c>
    </row>
    <row r="35" spans="1:9" x14ac:dyDescent="0.3">
      <c r="A35">
        <v>2025</v>
      </c>
      <c r="B35" t="s">
        <v>41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f t="shared" si="0"/>
        <v>0</v>
      </c>
    </row>
    <row r="36" spans="1:9" x14ac:dyDescent="0.3">
      <c r="A36">
        <v>2025</v>
      </c>
      <c r="B36" t="s">
        <v>41</v>
      </c>
      <c r="C36" t="s">
        <v>49</v>
      </c>
      <c r="D36">
        <v>97154542</v>
      </c>
      <c r="E36">
        <v>0</v>
      </c>
      <c r="F36">
        <v>0</v>
      </c>
      <c r="G36">
        <v>0</v>
      </c>
      <c r="H36">
        <v>0</v>
      </c>
      <c r="I36">
        <f t="shared" si="0"/>
        <v>97154542</v>
      </c>
    </row>
    <row r="37" spans="1:9" x14ac:dyDescent="0.3">
      <c r="A37">
        <v>2025</v>
      </c>
      <c r="B37" t="s">
        <v>41</v>
      </c>
      <c r="C37" t="s">
        <v>50</v>
      </c>
      <c r="D37">
        <v>1163250</v>
      </c>
      <c r="E37">
        <v>0</v>
      </c>
      <c r="F37">
        <v>0</v>
      </c>
      <c r="G37">
        <v>0</v>
      </c>
      <c r="H37">
        <v>0</v>
      </c>
      <c r="I37">
        <f t="shared" si="0"/>
        <v>1163250</v>
      </c>
    </row>
    <row r="38" spans="1:9" x14ac:dyDescent="0.3">
      <c r="A38">
        <v>2025</v>
      </c>
      <c r="B38" t="s">
        <v>41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 x14ac:dyDescent="0.3">
      <c r="A39">
        <v>2025</v>
      </c>
      <c r="B39" t="s">
        <v>41</v>
      </c>
      <c r="C39" t="s">
        <v>52</v>
      </c>
      <c r="D39">
        <v>1226182</v>
      </c>
      <c r="E39">
        <v>0</v>
      </c>
      <c r="F39">
        <v>0</v>
      </c>
      <c r="G39">
        <v>0</v>
      </c>
      <c r="H39">
        <v>0</v>
      </c>
      <c r="I39">
        <f t="shared" si="0"/>
        <v>1226182</v>
      </c>
    </row>
    <row r="40" spans="1:9" x14ac:dyDescent="0.3">
      <c r="A40">
        <v>2025</v>
      </c>
      <c r="B40" t="s">
        <v>53</v>
      </c>
      <c r="C40" t="s">
        <v>54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 x14ac:dyDescent="0.3">
      <c r="A41">
        <v>2025</v>
      </c>
      <c r="B41" t="s">
        <v>53</v>
      </c>
      <c r="C41" t="s">
        <v>55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 x14ac:dyDescent="0.3">
      <c r="A42">
        <v>2025</v>
      </c>
      <c r="B42" t="s">
        <v>53</v>
      </c>
      <c r="C42" t="s">
        <v>56</v>
      </c>
      <c r="D42">
        <v>1358590</v>
      </c>
      <c r="E42">
        <v>0</v>
      </c>
      <c r="F42">
        <v>0</v>
      </c>
      <c r="G42">
        <v>0</v>
      </c>
      <c r="H42">
        <v>0</v>
      </c>
      <c r="I42">
        <f t="shared" si="0"/>
        <v>1358590</v>
      </c>
    </row>
    <row r="43" spans="1:9" x14ac:dyDescent="0.3">
      <c r="A43">
        <v>2025</v>
      </c>
      <c r="B43" t="s">
        <v>53</v>
      </c>
      <c r="C43" t="s">
        <v>57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 x14ac:dyDescent="0.3">
      <c r="A44">
        <v>2025</v>
      </c>
      <c r="B44" t="s">
        <v>53</v>
      </c>
      <c r="C44" t="s">
        <v>58</v>
      </c>
      <c r="D44">
        <v>1771306</v>
      </c>
      <c r="E44">
        <v>0</v>
      </c>
      <c r="F44">
        <v>0</v>
      </c>
      <c r="G44">
        <v>0</v>
      </c>
      <c r="H44">
        <v>0</v>
      </c>
      <c r="I44">
        <f t="shared" si="0"/>
        <v>1771306</v>
      </c>
    </row>
    <row r="45" spans="1:9" x14ac:dyDescent="0.3">
      <c r="A45">
        <v>2025</v>
      </c>
      <c r="B45" t="s">
        <v>53</v>
      </c>
      <c r="C45" t="s">
        <v>59</v>
      </c>
      <c r="D45">
        <v>5040761</v>
      </c>
      <c r="E45">
        <v>0</v>
      </c>
      <c r="F45">
        <v>0</v>
      </c>
      <c r="G45">
        <v>2542229</v>
      </c>
      <c r="H45">
        <v>0</v>
      </c>
      <c r="I45">
        <f t="shared" si="0"/>
        <v>2498532</v>
      </c>
    </row>
    <row r="46" spans="1:9" x14ac:dyDescent="0.3">
      <c r="A46">
        <v>2025</v>
      </c>
      <c r="B46" t="s">
        <v>53</v>
      </c>
      <c r="C46" t="s">
        <v>60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 x14ac:dyDescent="0.3">
      <c r="A47">
        <v>2025</v>
      </c>
      <c r="B47" t="s">
        <v>61</v>
      </c>
      <c r="C47" t="s">
        <v>62</v>
      </c>
      <c r="D47">
        <v>65736213</v>
      </c>
      <c r="E47">
        <v>0</v>
      </c>
      <c r="F47">
        <v>0</v>
      </c>
      <c r="G47">
        <v>6986081</v>
      </c>
      <c r="H47">
        <v>0</v>
      </c>
      <c r="I47">
        <f t="shared" si="0"/>
        <v>58750132</v>
      </c>
    </row>
    <row r="48" spans="1:9" x14ac:dyDescent="0.3">
      <c r="A48">
        <v>2025</v>
      </c>
      <c r="B48" t="s">
        <v>61</v>
      </c>
      <c r="C48" t="s">
        <v>63</v>
      </c>
      <c r="D48">
        <v>2729750</v>
      </c>
      <c r="E48">
        <v>0</v>
      </c>
      <c r="F48">
        <v>0</v>
      </c>
      <c r="G48">
        <v>0</v>
      </c>
      <c r="H48">
        <v>0</v>
      </c>
      <c r="I48">
        <f t="shared" si="0"/>
        <v>2729750</v>
      </c>
    </row>
    <row r="49" spans="1:9" x14ac:dyDescent="0.3">
      <c r="A49">
        <v>2025</v>
      </c>
      <c r="B49" t="s">
        <v>61</v>
      </c>
      <c r="C49" t="s">
        <v>64</v>
      </c>
      <c r="D49">
        <v>33684978</v>
      </c>
      <c r="E49">
        <v>0</v>
      </c>
      <c r="F49">
        <v>0</v>
      </c>
      <c r="G49">
        <v>16569428</v>
      </c>
      <c r="H49">
        <v>0</v>
      </c>
      <c r="I49">
        <f t="shared" si="0"/>
        <v>17115550</v>
      </c>
    </row>
    <row r="50" spans="1:9" x14ac:dyDescent="0.3">
      <c r="A50">
        <v>2025</v>
      </c>
      <c r="B50" t="s">
        <v>61</v>
      </c>
      <c r="C50" t="s">
        <v>65</v>
      </c>
      <c r="D50">
        <v>2154000</v>
      </c>
      <c r="E50">
        <v>0</v>
      </c>
      <c r="F50">
        <v>0</v>
      </c>
      <c r="G50">
        <v>2154000</v>
      </c>
      <c r="H50">
        <v>0</v>
      </c>
      <c r="I50">
        <f t="shared" si="0"/>
        <v>0</v>
      </c>
    </row>
    <row r="51" spans="1:9" x14ac:dyDescent="0.3">
      <c r="A51">
        <v>2025</v>
      </c>
      <c r="B51" t="s">
        <v>61</v>
      </c>
      <c r="C51" t="s">
        <v>66</v>
      </c>
      <c r="D51">
        <v>46999723</v>
      </c>
      <c r="E51">
        <v>0</v>
      </c>
      <c r="F51">
        <v>0</v>
      </c>
      <c r="G51">
        <v>0</v>
      </c>
      <c r="H51">
        <v>0</v>
      </c>
      <c r="I51">
        <f t="shared" si="0"/>
        <v>46999723</v>
      </c>
    </row>
    <row r="52" spans="1:9" x14ac:dyDescent="0.3">
      <c r="A52">
        <v>2025</v>
      </c>
      <c r="B52" t="s">
        <v>61</v>
      </c>
      <c r="C52" t="s">
        <v>67</v>
      </c>
      <c r="D52">
        <v>14249450</v>
      </c>
      <c r="E52">
        <v>0</v>
      </c>
      <c r="F52">
        <v>0</v>
      </c>
      <c r="G52">
        <v>0</v>
      </c>
      <c r="H52">
        <v>0</v>
      </c>
      <c r="I52">
        <f t="shared" si="0"/>
        <v>14249450</v>
      </c>
    </row>
    <row r="53" spans="1:9" x14ac:dyDescent="0.3">
      <c r="A53">
        <v>2025</v>
      </c>
      <c r="B53" t="s">
        <v>61</v>
      </c>
      <c r="C53" t="s">
        <v>68</v>
      </c>
      <c r="D53">
        <v>0</v>
      </c>
      <c r="E53">
        <v>0</v>
      </c>
      <c r="F53">
        <v>0</v>
      </c>
      <c r="G53">
        <v>0</v>
      </c>
      <c r="H53">
        <v>0</v>
      </c>
      <c r="I53">
        <f t="shared" si="0"/>
        <v>0</v>
      </c>
    </row>
    <row r="54" spans="1:9" x14ac:dyDescent="0.3">
      <c r="A54">
        <v>2025</v>
      </c>
      <c r="B54" t="s">
        <v>61</v>
      </c>
      <c r="C54" t="s">
        <v>69</v>
      </c>
      <c r="D54">
        <v>0</v>
      </c>
      <c r="E54">
        <v>0</v>
      </c>
      <c r="F54">
        <v>0</v>
      </c>
      <c r="G54">
        <v>0</v>
      </c>
      <c r="H54">
        <v>0</v>
      </c>
      <c r="I54">
        <f t="shared" si="0"/>
        <v>0</v>
      </c>
    </row>
    <row r="55" spans="1:9" x14ac:dyDescent="0.3">
      <c r="A55">
        <v>2025</v>
      </c>
      <c r="B55" t="s">
        <v>61</v>
      </c>
      <c r="C55" t="s">
        <v>70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 x14ac:dyDescent="0.3">
      <c r="A56">
        <v>2025</v>
      </c>
      <c r="B56" t="s">
        <v>61</v>
      </c>
      <c r="C56" t="s">
        <v>71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 x14ac:dyDescent="0.3">
      <c r="A57">
        <v>2025</v>
      </c>
      <c r="B57" t="s">
        <v>72</v>
      </c>
      <c r="C57" t="s">
        <v>73</v>
      </c>
      <c r="D57">
        <v>7065411</v>
      </c>
      <c r="E57">
        <v>0</v>
      </c>
      <c r="F57">
        <v>0</v>
      </c>
      <c r="G57">
        <v>0</v>
      </c>
      <c r="H57">
        <v>0</v>
      </c>
      <c r="I57">
        <f t="shared" si="0"/>
        <v>7065411</v>
      </c>
    </row>
    <row r="58" spans="1:9" x14ac:dyDescent="0.3">
      <c r="A58">
        <v>2025</v>
      </c>
      <c r="B58" t="s">
        <v>72</v>
      </c>
      <c r="C58" t="s">
        <v>74</v>
      </c>
      <c r="D58">
        <v>18494586</v>
      </c>
      <c r="E58">
        <v>0</v>
      </c>
      <c r="F58">
        <v>0</v>
      </c>
      <c r="G58">
        <v>3163444</v>
      </c>
      <c r="H58">
        <v>15331141</v>
      </c>
      <c r="I58">
        <f t="shared" si="0"/>
        <v>1</v>
      </c>
    </row>
    <row r="59" spans="1:9" x14ac:dyDescent="0.3">
      <c r="A59">
        <v>2025</v>
      </c>
      <c r="B59" t="s">
        <v>72</v>
      </c>
      <c r="C59" t="s">
        <v>75</v>
      </c>
      <c r="D59">
        <v>0</v>
      </c>
      <c r="E59">
        <v>0</v>
      </c>
      <c r="F59">
        <v>0</v>
      </c>
      <c r="G59">
        <v>0</v>
      </c>
      <c r="H59">
        <v>0</v>
      </c>
      <c r="I59">
        <f t="shared" si="0"/>
        <v>0</v>
      </c>
    </row>
    <row r="60" spans="1:9" x14ac:dyDescent="0.3">
      <c r="A60">
        <v>2025</v>
      </c>
      <c r="B60" t="s">
        <v>72</v>
      </c>
      <c r="C60" t="s">
        <v>76</v>
      </c>
      <c r="D60">
        <v>0</v>
      </c>
      <c r="E60">
        <v>0</v>
      </c>
      <c r="F60">
        <v>0</v>
      </c>
      <c r="G60">
        <v>0</v>
      </c>
      <c r="H60">
        <v>0</v>
      </c>
      <c r="I60">
        <f t="shared" si="0"/>
        <v>0</v>
      </c>
    </row>
    <row r="61" spans="1:9" x14ac:dyDescent="0.3">
      <c r="A61">
        <v>2025</v>
      </c>
      <c r="B61" t="s">
        <v>72</v>
      </c>
      <c r="C61" t="s">
        <v>77</v>
      </c>
      <c r="D61">
        <v>227000</v>
      </c>
      <c r="E61">
        <v>0</v>
      </c>
      <c r="F61">
        <v>227000</v>
      </c>
      <c r="G61">
        <v>0</v>
      </c>
      <c r="H61">
        <v>0</v>
      </c>
      <c r="I61">
        <f t="shared" si="0"/>
        <v>0</v>
      </c>
    </row>
    <row r="62" spans="1:9" x14ac:dyDescent="0.3">
      <c r="A62">
        <v>2025</v>
      </c>
      <c r="B62" t="s">
        <v>72</v>
      </c>
      <c r="C62" t="s">
        <v>78</v>
      </c>
      <c r="D62">
        <v>0</v>
      </c>
      <c r="E62">
        <v>0</v>
      </c>
      <c r="F62">
        <v>0</v>
      </c>
      <c r="G62">
        <v>0</v>
      </c>
      <c r="H62">
        <v>0</v>
      </c>
      <c r="I62">
        <f t="shared" si="0"/>
        <v>0</v>
      </c>
    </row>
    <row r="63" spans="1:9" x14ac:dyDescent="0.3">
      <c r="A63">
        <v>2025</v>
      </c>
      <c r="B63" t="s">
        <v>79</v>
      </c>
      <c r="C63" t="s">
        <v>80</v>
      </c>
      <c r="D63">
        <v>12939444</v>
      </c>
      <c r="E63">
        <v>0</v>
      </c>
      <c r="F63">
        <v>0</v>
      </c>
      <c r="G63">
        <v>11629554</v>
      </c>
      <c r="H63">
        <v>0</v>
      </c>
      <c r="I63">
        <f t="shared" si="0"/>
        <v>1309890</v>
      </c>
    </row>
    <row r="64" spans="1:9" x14ac:dyDescent="0.3">
      <c r="A64">
        <v>2025</v>
      </c>
      <c r="B64" t="s">
        <v>79</v>
      </c>
      <c r="C64" t="s">
        <v>81</v>
      </c>
      <c r="D64">
        <v>84573</v>
      </c>
      <c r="E64">
        <v>0</v>
      </c>
      <c r="F64">
        <v>0</v>
      </c>
      <c r="G64">
        <v>0</v>
      </c>
      <c r="H64">
        <v>84573</v>
      </c>
      <c r="I64">
        <f t="shared" si="0"/>
        <v>0</v>
      </c>
    </row>
    <row r="65" spans="1:9" x14ac:dyDescent="0.3">
      <c r="A65">
        <v>2025</v>
      </c>
      <c r="B65" t="s">
        <v>79</v>
      </c>
      <c r="C65" t="s">
        <v>82</v>
      </c>
      <c r="D65">
        <v>2150800</v>
      </c>
      <c r="E65">
        <v>0</v>
      </c>
      <c r="F65">
        <v>2150800</v>
      </c>
      <c r="G65">
        <v>0</v>
      </c>
      <c r="H65">
        <v>0</v>
      </c>
      <c r="I65">
        <f t="shared" si="0"/>
        <v>0</v>
      </c>
    </row>
    <row r="66" spans="1:9" x14ac:dyDescent="0.3">
      <c r="A66">
        <v>2025</v>
      </c>
      <c r="B66" t="s">
        <v>79</v>
      </c>
      <c r="C66" t="s">
        <v>83</v>
      </c>
      <c r="D66">
        <v>16128707</v>
      </c>
      <c r="E66">
        <v>0</v>
      </c>
      <c r="F66">
        <v>0</v>
      </c>
      <c r="G66">
        <v>2100000</v>
      </c>
      <c r="H66">
        <v>0</v>
      </c>
      <c r="I66">
        <f t="shared" si="0"/>
        <v>14028707</v>
      </c>
    </row>
    <row r="67" spans="1:9" x14ac:dyDescent="0.3">
      <c r="A67">
        <v>2025</v>
      </c>
      <c r="B67" t="s">
        <v>79</v>
      </c>
      <c r="C67" t="s">
        <v>84</v>
      </c>
      <c r="D67">
        <v>60326390</v>
      </c>
      <c r="E67">
        <v>0</v>
      </c>
      <c r="F67">
        <v>0</v>
      </c>
      <c r="G67">
        <v>0</v>
      </c>
      <c r="H67">
        <v>0</v>
      </c>
      <c r="I67">
        <f t="shared" si="0"/>
        <v>60326390</v>
      </c>
    </row>
    <row r="68" spans="1:9" x14ac:dyDescent="0.3">
      <c r="A68">
        <v>2025</v>
      </c>
      <c r="B68" t="s">
        <v>79</v>
      </c>
      <c r="C68" t="s">
        <v>85</v>
      </c>
      <c r="D68">
        <v>963500</v>
      </c>
      <c r="E68">
        <v>0</v>
      </c>
      <c r="F68">
        <v>0</v>
      </c>
      <c r="G68">
        <v>0</v>
      </c>
      <c r="H68">
        <v>0</v>
      </c>
      <c r="I68">
        <f t="shared" si="0"/>
        <v>963500</v>
      </c>
    </row>
    <row r="69" spans="1:9" x14ac:dyDescent="0.3">
      <c r="A69">
        <v>2025</v>
      </c>
      <c r="B69" t="s">
        <v>79</v>
      </c>
      <c r="C69" t="s">
        <v>86</v>
      </c>
      <c r="D69">
        <v>1435000</v>
      </c>
      <c r="E69">
        <v>0</v>
      </c>
      <c r="F69">
        <v>0</v>
      </c>
      <c r="G69">
        <v>0</v>
      </c>
      <c r="H69">
        <v>0</v>
      </c>
      <c r="I69">
        <f t="shared" ref="I69:I132" si="1">D69-SUM(E69:H69)</f>
        <v>1435000</v>
      </c>
    </row>
    <row r="70" spans="1:9" x14ac:dyDescent="0.3">
      <c r="A70">
        <v>2025</v>
      </c>
      <c r="B70" t="s">
        <v>79</v>
      </c>
      <c r="C70" t="s">
        <v>87</v>
      </c>
      <c r="D70">
        <v>4374887</v>
      </c>
      <c r="E70">
        <v>0</v>
      </c>
      <c r="F70">
        <v>0</v>
      </c>
      <c r="G70">
        <v>0</v>
      </c>
      <c r="H70">
        <v>0</v>
      </c>
      <c r="I70">
        <f t="shared" si="1"/>
        <v>4374887</v>
      </c>
    </row>
    <row r="71" spans="1:9" x14ac:dyDescent="0.3">
      <c r="A71">
        <v>2025</v>
      </c>
      <c r="B71" t="s">
        <v>79</v>
      </c>
      <c r="C71" t="s">
        <v>88</v>
      </c>
      <c r="D71">
        <v>313298</v>
      </c>
      <c r="E71">
        <v>0</v>
      </c>
      <c r="F71">
        <v>0</v>
      </c>
      <c r="G71">
        <v>313298</v>
      </c>
      <c r="H71">
        <v>0</v>
      </c>
      <c r="I71">
        <f t="shared" si="1"/>
        <v>0</v>
      </c>
    </row>
    <row r="72" spans="1:9" x14ac:dyDescent="0.3">
      <c r="A72">
        <v>2025</v>
      </c>
      <c r="B72" t="s">
        <v>79</v>
      </c>
      <c r="C72" t="s">
        <v>89</v>
      </c>
      <c r="D72">
        <v>100125144</v>
      </c>
      <c r="E72">
        <v>0</v>
      </c>
      <c r="F72">
        <v>5376975</v>
      </c>
      <c r="G72">
        <v>39400000</v>
      </c>
      <c r="H72">
        <v>0</v>
      </c>
      <c r="I72">
        <f t="shared" si="1"/>
        <v>55348169</v>
      </c>
    </row>
    <row r="73" spans="1:9" x14ac:dyDescent="0.3">
      <c r="A73">
        <v>2025</v>
      </c>
      <c r="B73" t="s">
        <v>79</v>
      </c>
      <c r="C73" t="s">
        <v>90</v>
      </c>
      <c r="D73">
        <v>2052820</v>
      </c>
      <c r="E73">
        <v>0</v>
      </c>
      <c r="F73">
        <v>0</v>
      </c>
      <c r="G73">
        <v>355296</v>
      </c>
      <c r="H73">
        <v>0</v>
      </c>
      <c r="I73">
        <f t="shared" si="1"/>
        <v>1697524</v>
      </c>
    </row>
    <row r="74" spans="1:9" x14ac:dyDescent="0.3">
      <c r="A74">
        <v>2025</v>
      </c>
      <c r="B74" t="s">
        <v>79</v>
      </c>
      <c r="C74" t="s">
        <v>91</v>
      </c>
      <c r="D74">
        <v>22449623</v>
      </c>
      <c r="E74">
        <v>0</v>
      </c>
      <c r="F74">
        <v>0</v>
      </c>
      <c r="G74">
        <v>0</v>
      </c>
      <c r="H74">
        <v>0</v>
      </c>
      <c r="I74">
        <f t="shared" si="1"/>
        <v>22449623</v>
      </c>
    </row>
    <row r="75" spans="1:9" x14ac:dyDescent="0.3">
      <c r="A75">
        <v>2025</v>
      </c>
      <c r="B75" t="s">
        <v>79</v>
      </c>
      <c r="C75" t="s">
        <v>92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 x14ac:dyDescent="0.3">
      <c r="A76">
        <v>2025</v>
      </c>
      <c r="B76" t="s">
        <v>79</v>
      </c>
      <c r="C76" t="s">
        <v>93</v>
      </c>
      <c r="D76">
        <v>206883</v>
      </c>
      <c r="E76">
        <v>0</v>
      </c>
      <c r="F76">
        <v>0</v>
      </c>
      <c r="G76">
        <v>206883</v>
      </c>
      <c r="H76">
        <v>0</v>
      </c>
      <c r="I76">
        <f t="shared" si="1"/>
        <v>0</v>
      </c>
    </row>
    <row r="77" spans="1:9" x14ac:dyDescent="0.3">
      <c r="A77">
        <v>2025</v>
      </c>
      <c r="B77" t="s">
        <v>79</v>
      </c>
      <c r="C77" t="s">
        <v>94</v>
      </c>
      <c r="D77">
        <v>7991000</v>
      </c>
      <c r="E77">
        <v>0</v>
      </c>
      <c r="F77">
        <v>0</v>
      </c>
      <c r="G77">
        <v>0</v>
      </c>
      <c r="H77">
        <v>0</v>
      </c>
      <c r="I77">
        <f t="shared" si="1"/>
        <v>7991000</v>
      </c>
    </row>
    <row r="78" spans="1:9" x14ac:dyDescent="0.3">
      <c r="A78">
        <v>2025</v>
      </c>
      <c r="B78" t="s">
        <v>79</v>
      </c>
      <c r="C78" t="s">
        <v>95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 x14ac:dyDescent="0.3">
      <c r="A79">
        <v>2025</v>
      </c>
      <c r="B79" t="s">
        <v>79</v>
      </c>
      <c r="C79" t="s">
        <v>96</v>
      </c>
      <c r="D79">
        <v>28615295</v>
      </c>
      <c r="E79">
        <v>0</v>
      </c>
      <c r="F79">
        <v>0</v>
      </c>
      <c r="G79">
        <v>161027</v>
      </c>
      <c r="H79">
        <v>0</v>
      </c>
      <c r="I79">
        <f t="shared" si="1"/>
        <v>28454268</v>
      </c>
    </row>
    <row r="80" spans="1:9" x14ac:dyDescent="0.3">
      <c r="A80">
        <v>2025</v>
      </c>
      <c r="B80" t="s">
        <v>79</v>
      </c>
      <c r="C80" t="s">
        <v>97</v>
      </c>
      <c r="D80">
        <v>123836210</v>
      </c>
      <c r="E80">
        <v>0</v>
      </c>
      <c r="F80">
        <v>0</v>
      </c>
      <c r="G80">
        <v>0</v>
      </c>
      <c r="H80">
        <v>0</v>
      </c>
      <c r="I80">
        <f t="shared" si="1"/>
        <v>123836210</v>
      </c>
    </row>
    <row r="81" spans="1:9" x14ac:dyDescent="0.3">
      <c r="A81">
        <v>2025</v>
      </c>
      <c r="B81" t="s">
        <v>98</v>
      </c>
      <c r="C81" t="s">
        <v>99</v>
      </c>
      <c r="D81">
        <v>0</v>
      </c>
      <c r="E81">
        <v>0</v>
      </c>
      <c r="F81">
        <v>0</v>
      </c>
      <c r="G81">
        <v>0</v>
      </c>
      <c r="H81">
        <v>0</v>
      </c>
      <c r="I81">
        <f t="shared" si="1"/>
        <v>0</v>
      </c>
    </row>
    <row r="82" spans="1:9" x14ac:dyDescent="0.3">
      <c r="A82">
        <v>2025</v>
      </c>
      <c r="B82" t="s">
        <v>98</v>
      </c>
      <c r="C82" t="s">
        <v>100</v>
      </c>
      <c r="D82">
        <v>73033612</v>
      </c>
      <c r="E82">
        <v>0</v>
      </c>
      <c r="F82">
        <v>0</v>
      </c>
      <c r="G82">
        <v>34568303</v>
      </c>
      <c r="H82">
        <v>0</v>
      </c>
      <c r="I82">
        <f t="shared" si="1"/>
        <v>38465309</v>
      </c>
    </row>
    <row r="83" spans="1:9" x14ac:dyDescent="0.3">
      <c r="A83">
        <v>2025</v>
      </c>
      <c r="B83" t="s">
        <v>98</v>
      </c>
      <c r="C83" t="s">
        <v>101</v>
      </c>
      <c r="D83">
        <v>0</v>
      </c>
      <c r="E83">
        <v>0</v>
      </c>
      <c r="F83">
        <v>0</v>
      </c>
      <c r="G83">
        <v>0</v>
      </c>
      <c r="H83">
        <v>0</v>
      </c>
      <c r="I83">
        <f t="shared" si="1"/>
        <v>0</v>
      </c>
    </row>
    <row r="84" spans="1:9" x14ac:dyDescent="0.3">
      <c r="A84">
        <v>2025</v>
      </c>
      <c r="B84" t="s">
        <v>98</v>
      </c>
      <c r="C84" t="s">
        <v>102</v>
      </c>
      <c r="D84">
        <v>0</v>
      </c>
      <c r="E84">
        <v>0</v>
      </c>
      <c r="F84">
        <v>0</v>
      </c>
      <c r="G84">
        <v>0</v>
      </c>
      <c r="H84">
        <v>0</v>
      </c>
      <c r="I84">
        <f t="shared" si="1"/>
        <v>0</v>
      </c>
    </row>
    <row r="85" spans="1:9" x14ac:dyDescent="0.3">
      <c r="A85">
        <v>2025</v>
      </c>
      <c r="B85" t="s">
        <v>103</v>
      </c>
      <c r="C85" t="s">
        <v>104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 x14ac:dyDescent="0.3">
      <c r="A86">
        <v>2025</v>
      </c>
      <c r="B86" t="s">
        <v>103</v>
      </c>
      <c r="C86" t="s">
        <v>105</v>
      </c>
      <c r="D86">
        <v>18188456</v>
      </c>
      <c r="E86">
        <v>0</v>
      </c>
      <c r="F86">
        <v>0</v>
      </c>
      <c r="G86">
        <v>960482</v>
      </c>
      <c r="H86">
        <v>0</v>
      </c>
      <c r="I86">
        <f t="shared" si="1"/>
        <v>17227974</v>
      </c>
    </row>
    <row r="87" spans="1:9" x14ac:dyDescent="0.3">
      <c r="A87">
        <v>2025</v>
      </c>
      <c r="B87" t="s">
        <v>103</v>
      </c>
      <c r="C87" t="s">
        <v>106</v>
      </c>
      <c r="D87">
        <v>22041332</v>
      </c>
      <c r="E87">
        <v>0</v>
      </c>
      <c r="F87">
        <v>0</v>
      </c>
      <c r="G87">
        <v>4928224</v>
      </c>
      <c r="H87">
        <v>0</v>
      </c>
      <c r="I87">
        <f t="shared" si="1"/>
        <v>17113108</v>
      </c>
    </row>
    <row r="88" spans="1:9" x14ac:dyDescent="0.3">
      <c r="A88">
        <v>2025</v>
      </c>
      <c r="B88" t="s">
        <v>103</v>
      </c>
      <c r="C88" t="s">
        <v>107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 x14ac:dyDescent="0.3">
      <c r="A89">
        <v>2025</v>
      </c>
      <c r="B89" t="s">
        <v>103</v>
      </c>
      <c r="C89" t="s">
        <v>108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 x14ac:dyDescent="0.3">
      <c r="A90">
        <v>2025</v>
      </c>
      <c r="B90" t="s">
        <v>103</v>
      </c>
      <c r="C90" t="s">
        <v>109</v>
      </c>
      <c r="D90">
        <v>49326748</v>
      </c>
      <c r="E90">
        <v>0</v>
      </c>
      <c r="F90">
        <v>0</v>
      </c>
      <c r="G90">
        <v>0</v>
      </c>
      <c r="H90">
        <v>0</v>
      </c>
      <c r="I90">
        <f t="shared" si="1"/>
        <v>49326748</v>
      </c>
    </row>
    <row r="91" spans="1:9" x14ac:dyDescent="0.3">
      <c r="A91">
        <v>2025</v>
      </c>
      <c r="B91" t="s">
        <v>103</v>
      </c>
      <c r="C91" t="s">
        <v>110</v>
      </c>
      <c r="D91">
        <v>309772806</v>
      </c>
      <c r="E91">
        <v>0</v>
      </c>
      <c r="F91">
        <v>0</v>
      </c>
      <c r="G91">
        <v>3890027</v>
      </c>
      <c r="H91">
        <v>280654996</v>
      </c>
      <c r="I91">
        <f t="shared" si="1"/>
        <v>25227783</v>
      </c>
    </row>
    <row r="92" spans="1:9" x14ac:dyDescent="0.3">
      <c r="A92">
        <v>2025</v>
      </c>
      <c r="B92" t="s">
        <v>103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 x14ac:dyDescent="0.3">
      <c r="A93" s="3">
        <v>2024</v>
      </c>
      <c r="B93" s="3" t="s">
        <v>14</v>
      </c>
      <c r="C93" s="3" t="s">
        <v>15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f t="shared" si="1"/>
        <v>0</v>
      </c>
    </row>
    <row r="94" spans="1:9" x14ac:dyDescent="0.3">
      <c r="A94" s="3">
        <v>2024</v>
      </c>
      <c r="B94" s="3" t="s">
        <v>14</v>
      </c>
      <c r="C94" s="3" t="s">
        <v>16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f t="shared" si="1"/>
        <v>0</v>
      </c>
    </row>
    <row r="95" spans="1:9" x14ac:dyDescent="0.3">
      <c r="A95" s="3">
        <v>2024</v>
      </c>
      <c r="B95" s="3" t="s">
        <v>14</v>
      </c>
      <c r="C95" s="3" t="s">
        <v>17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f t="shared" si="1"/>
        <v>0</v>
      </c>
    </row>
    <row r="96" spans="1:9" x14ac:dyDescent="0.3">
      <c r="A96" s="3">
        <v>2024</v>
      </c>
      <c r="B96" s="3" t="s">
        <v>14</v>
      </c>
      <c r="C96" s="3" t="s">
        <v>18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f t="shared" si="1"/>
        <v>0</v>
      </c>
    </row>
    <row r="97" spans="1:9" x14ac:dyDescent="0.3">
      <c r="A97" s="3">
        <v>2024</v>
      </c>
      <c r="B97" s="3" t="s">
        <v>14</v>
      </c>
      <c r="C97" s="3" t="s">
        <v>19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f t="shared" si="1"/>
        <v>0</v>
      </c>
    </row>
    <row r="98" spans="1:9" x14ac:dyDescent="0.3">
      <c r="A98" s="3">
        <v>2024</v>
      </c>
      <c r="B98" s="3" t="s">
        <v>14</v>
      </c>
      <c r="C98" s="3" t="s">
        <v>20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f t="shared" si="1"/>
        <v>0</v>
      </c>
    </row>
    <row r="99" spans="1:9" x14ac:dyDescent="0.3">
      <c r="A99" s="3">
        <v>2024</v>
      </c>
      <c r="B99" s="3" t="s">
        <v>14</v>
      </c>
      <c r="C99" s="3" t="s">
        <v>21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f t="shared" si="1"/>
        <v>0</v>
      </c>
    </row>
    <row r="100" spans="1:9" x14ac:dyDescent="0.3">
      <c r="A100" s="3">
        <v>2024</v>
      </c>
      <c r="B100" s="3" t="s">
        <v>14</v>
      </c>
      <c r="C100" s="3" t="s">
        <v>22</v>
      </c>
      <c r="D100" s="3">
        <v>39871807</v>
      </c>
      <c r="E100" s="3">
        <v>39871807</v>
      </c>
      <c r="F100" s="3">
        <v>0</v>
      </c>
      <c r="G100" s="3">
        <v>0</v>
      </c>
      <c r="H100" s="3">
        <v>0</v>
      </c>
      <c r="I100" s="3">
        <f t="shared" si="1"/>
        <v>0</v>
      </c>
    </row>
    <row r="101" spans="1:9" x14ac:dyDescent="0.3">
      <c r="A101" s="3">
        <v>2024</v>
      </c>
      <c r="B101" s="3" t="s">
        <v>14</v>
      </c>
      <c r="C101" s="3" t="s">
        <v>23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f t="shared" si="1"/>
        <v>0</v>
      </c>
    </row>
    <row r="102" spans="1:9" x14ac:dyDescent="0.3">
      <c r="A102" s="3">
        <v>2024</v>
      </c>
      <c r="B102" s="3" t="s">
        <v>14</v>
      </c>
      <c r="C102" s="3" t="s">
        <v>24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f t="shared" si="1"/>
        <v>0</v>
      </c>
    </row>
    <row r="103" spans="1:9" x14ac:dyDescent="0.3">
      <c r="A103" s="3">
        <v>2024</v>
      </c>
      <c r="B103" s="3" t="s">
        <v>14</v>
      </c>
      <c r="C103" s="3" t="s">
        <v>25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f t="shared" si="1"/>
        <v>0</v>
      </c>
    </row>
    <row r="104" spans="1:9" x14ac:dyDescent="0.3">
      <c r="A104" s="3">
        <v>2024</v>
      </c>
      <c r="B104" s="3" t="s">
        <v>26</v>
      </c>
      <c r="C104" s="3" t="s">
        <v>27</v>
      </c>
      <c r="D104" s="3">
        <v>59849938</v>
      </c>
      <c r="E104" s="3">
        <v>0</v>
      </c>
      <c r="F104" s="3">
        <v>0</v>
      </c>
      <c r="G104" s="3">
        <v>0</v>
      </c>
      <c r="H104" s="3">
        <v>0</v>
      </c>
      <c r="I104" s="3">
        <f t="shared" si="1"/>
        <v>59849938</v>
      </c>
    </row>
    <row r="105" spans="1:9" x14ac:dyDescent="0.3">
      <c r="A105" s="3">
        <v>2024</v>
      </c>
      <c r="B105" s="3" t="s">
        <v>26</v>
      </c>
      <c r="C105" s="3" t="s">
        <v>28</v>
      </c>
      <c r="D105" s="3">
        <v>103451518</v>
      </c>
      <c r="E105" s="3">
        <v>0</v>
      </c>
      <c r="F105" s="3">
        <v>0</v>
      </c>
      <c r="G105" s="3">
        <v>0</v>
      </c>
      <c r="H105" s="3">
        <v>0</v>
      </c>
      <c r="I105" s="3">
        <f t="shared" si="1"/>
        <v>103451518</v>
      </c>
    </row>
    <row r="106" spans="1:9" x14ac:dyDescent="0.3">
      <c r="A106" s="3">
        <v>2024</v>
      </c>
      <c r="B106" s="3" t="s">
        <v>26</v>
      </c>
      <c r="C106" s="3" t="s">
        <v>29</v>
      </c>
      <c r="D106" s="3">
        <v>1339189</v>
      </c>
      <c r="E106" s="3">
        <v>0</v>
      </c>
      <c r="F106" s="3">
        <v>0</v>
      </c>
      <c r="G106" s="3">
        <v>0</v>
      </c>
      <c r="H106" s="3">
        <v>0</v>
      </c>
      <c r="I106" s="3">
        <f t="shared" si="1"/>
        <v>1339189</v>
      </c>
    </row>
    <row r="107" spans="1:9" x14ac:dyDescent="0.3">
      <c r="A107" s="3">
        <v>2024</v>
      </c>
      <c r="B107" s="3" t="s">
        <v>26</v>
      </c>
      <c r="C107" s="3" t="s">
        <v>30</v>
      </c>
      <c r="D107" s="3">
        <v>21308194</v>
      </c>
      <c r="E107" s="3">
        <v>0</v>
      </c>
      <c r="F107" s="3">
        <v>0</v>
      </c>
      <c r="G107" s="3">
        <v>1081473</v>
      </c>
      <c r="H107" s="3">
        <v>20226721</v>
      </c>
      <c r="I107" s="3">
        <f t="shared" si="1"/>
        <v>0</v>
      </c>
    </row>
    <row r="108" spans="1:9" x14ac:dyDescent="0.3">
      <c r="A108" s="3">
        <v>2024</v>
      </c>
      <c r="B108" s="3" t="s">
        <v>26</v>
      </c>
      <c r="C108" s="3" t="s">
        <v>31</v>
      </c>
      <c r="D108" s="3">
        <v>38530980</v>
      </c>
      <c r="E108" s="3">
        <v>0</v>
      </c>
      <c r="F108" s="3">
        <v>0</v>
      </c>
      <c r="G108" s="3">
        <v>0</v>
      </c>
      <c r="H108" s="3">
        <v>0</v>
      </c>
      <c r="I108" s="3">
        <f t="shared" si="1"/>
        <v>38530980</v>
      </c>
    </row>
    <row r="109" spans="1:9" x14ac:dyDescent="0.3">
      <c r="A109" s="3">
        <v>2024</v>
      </c>
      <c r="B109" s="3" t="s">
        <v>26</v>
      </c>
      <c r="C109" s="3" t="s">
        <v>32</v>
      </c>
      <c r="D109" s="3">
        <v>62528768</v>
      </c>
      <c r="E109" s="3">
        <v>0</v>
      </c>
      <c r="F109" s="3">
        <v>0</v>
      </c>
      <c r="G109" s="3">
        <v>1541521</v>
      </c>
      <c r="H109" s="3">
        <v>0</v>
      </c>
      <c r="I109" s="3">
        <f t="shared" si="1"/>
        <v>60987247</v>
      </c>
    </row>
    <row r="110" spans="1:9" x14ac:dyDescent="0.3">
      <c r="A110" s="3">
        <v>2024</v>
      </c>
      <c r="B110" s="3" t="s">
        <v>26</v>
      </c>
      <c r="C110" s="3" t="s">
        <v>33</v>
      </c>
      <c r="D110" s="3">
        <v>2858597</v>
      </c>
      <c r="E110" s="3">
        <v>0</v>
      </c>
      <c r="F110" s="3">
        <v>0</v>
      </c>
      <c r="G110" s="3">
        <v>0</v>
      </c>
      <c r="H110" s="3">
        <v>0</v>
      </c>
      <c r="I110" s="3">
        <f t="shared" si="1"/>
        <v>2858597</v>
      </c>
    </row>
    <row r="111" spans="1:9" x14ac:dyDescent="0.3">
      <c r="A111" s="3">
        <v>2024</v>
      </c>
      <c r="B111" s="3" t="s">
        <v>26</v>
      </c>
      <c r="C111" s="3" t="s">
        <v>34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f t="shared" si="1"/>
        <v>0</v>
      </c>
    </row>
    <row r="112" spans="1:9" x14ac:dyDescent="0.3">
      <c r="A112" s="3">
        <v>2024</v>
      </c>
      <c r="B112" s="3" t="s">
        <v>26</v>
      </c>
      <c r="C112" s="3" t="s">
        <v>35</v>
      </c>
      <c r="D112" s="3">
        <v>1050101</v>
      </c>
      <c r="E112" s="3">
        <v>0</v>
      </c>
      <c r="F112" s="3">
        <v>0</v>
      </c>
      <c r="G112" s="3">
        <v>0</v>
      </c>
      <c r="H112" s="3">
        <v>0</v>
      </c>
      <c r="I112" s="3">
        <f t="shared" si="1"/>
        <v>1050101</v>
      </c>
    </row>
    <row r="113" spans="1:9" x14ac:dyDescent="0.3">
      <c r="A113" s="3">
        <v>2024</v>
      </c>
      <c r="B113" s="3" t="s">
        <v>26</v>
      </c>
      <c r="C113" s="3" t="s">
        <v>36</v>
      </c>
      <c r="D113" s="3">
        <v>40893822</v>
      </c>
      <c r="E113" s="3">
        <v>0</v>
      </c>
      <c r="F113" s="3">
        <v>0</v>
      </c>
      <c r="G113" s="3">
        <v>7866081</v>
      </c>
      <c r="H113" s="3">
        <v>0</v>
      </c>
      <c r="I113" s="3">
        <f t="shared" si="1"/>
        <v>33027741</v>
      </c>
    </row>
    <row r="114" spans="1:9" x14ac:dyDescent="0.3">
      <c r="A114" s="3">
        <v>2024</v>
      </c>
      <c r="B114" s="3" t="s">
        <v>26</v>
      </c>
      <c r="C114" s="3" t="s">
        <v>37</v>
      </c>
      <c r="D114" s="3">
        <v>23922</v>
      </c>
      <c r="E114" s="3">
        <v>0</v>
      </c>
      <c r="F114" s="3">
        <v>0</v>
      </c>
      <c r="G114" s="3">
        <v>0</v>
      </c>
      <c r="H114" s="3">
        <v>0</v>
      </c>
      <c r="I114" s="3">
        <f t="shared" si="1"/>
        <v>23922</v>
      </c>
    </row>
    <row r="115" spans="1:9" x14ac:dyDescent="0.3">
      <c r="A115" s="3">
        <v>2024</v>
      </c>
      <c r="B115" s="3" t="s">
        <v>26</v>
      </c>
      <c r="C115" s="3" t="s">
        <v>38</v>
      </c>
      <c r="D115" s="3">
        <v>8900734</v>
      </c>
      <c r="E115" s="3">
        <v>0</v>
      </c>
      <c r="F115" s="3">
        <v>0</v>
      </c>
      <c r="G115" s="3">
        <v>0</v>
      </c>
      <c r="H115" s="3">
        <v>0</v>
      </c>
      <c r="I115" s="3">
        <f t="shared" si="1"/>
        <v>8900734</v>
      </c>
    </row>
    <row r="116" spans="1:9" x14ac:dyDescent="0.3">
      <c r="A116" s="3">
        <v>2024</v>
      </c>
      <c r="B116" s="3" t="s">
        <v>26</v>
      </c>
      <c r="C116" s="3" t="s">
        <v>39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f t="shared" si="1"/>
        <v>0</v>
      </c>
    </row>
    <row r="117" spans="1:9" x14ac:dyDescent="0.3">
      <c r="A117" s="3">
        <v>2024</v>
      </c>
      <c r="B117" s="3" t="s">
        <v>26</v>
      </c>
      <c r="C117" s="3" t="s">
        <v>40</v>
      </c>
      <c r="D117" s="3">
        <v>43697247</v>
      </c>
      <c r="E117" s="3">
        <v>0</v>
      </c>
      <c r="F117" s="3">
        <v>0</v>
      </c>
      <c r="G117" s="3">
        <v>0</v>
      </c>
      <c r="H117" s="3">
        <v>0</v>
      </c>
      <c r="I117" s="3">
        <f t="shared" si="1"/>
        <v>43697247</v>
      </c>
    </row>
    <row r="118" spans="1:9" x14ac:dyDescent="0.3">
      <c r="A118" s="3">
        <v>2024</v>
      </c>
      <c r="B118" s="3" t="s">
        <v>41</v>
      </c>
      <c r="C118" s="3" t="s">
        <v>42</v>
      </c>
      <c r="D118" s="3">
        <v>14443925</v>
      </c>
      <c r="E118" s="3">
        <v>0</v>
      </c>
      <c r="F118" s="3">
        <v>0</v>
      </c>
      <c r="G118" s="3">
        <v>0</v>
      </c>
      <c r="H118" s="3">
        <v>0</v>
      </c>
      <c r="I118" s="3">
        <f t="shared" si="1"/>
        <v>14443925</v>
      </c>
    </row>
    <row r="119" spans="1:9" x14ac:dyDescent="0.3">
      <c r="A119" s="3">
        <v>2024</v>
      </c>
      <c r="B119" s="3" t="s">
        <v>41</v>
      </c>
      <c r="C119" s="3" t="s">
        <v>43</v>
      </c>
      <c r="D119" s="3">
        <v>27583690</v>
      </c>
      <c r="E119" s="3">
        <v>0</v>
      </c>
      <c r="F119" s="3">
        <v>27583690</v>
      </c>
      <c r="G119" s="3">
        <v>0</v>
      </c>
      <c r="H119" s="3">
        <v>0</v>
      </c>
      <c r="I119" s="3">
        <f t="shared" si="1"/>
        <v>0</v>
      </c>
    </row>
    <row r="120" spans="1:9" x14ac:dyDescent="0.3">
      <c r="A120" s="3">
        <v>2024</v>
      </c>
      <c r="B120" s="3" t="s">
        <v>41</v>
      </c>
      <c r="C120" s="3" t="s">
        <v>44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f t="shared" si="1"/>
        <v>0</v>
      </c>
    </row>
    <row r="121" spans="1:9" x14ac:dyDescent="0.3">
      <c r="A121" s="3">
        <v>2024</v>
      </c>
      <c r="B121" s="3" t="s">
        <v>41</v>
      </c>
      <c r="C121" s="3" t="s">
        <v>45</v>
      </c>
      <c r="D121" s="3">
        <v>21775596</v>
      </c>
      <c r="E121" s="3">
        <v>0</v>
      </c>
      <c r="F121" s="3">
        <v>4027396</v>
      </c>
      <c r="G121" s="3">
        <v>0</v>
      </c>
      <c r="H121" s="3">
        <v>0</v>
      </c>
      <c r="I121" s="3">
        <f t="shared" si="1"/>
        <v>17748200</v>
      </c>
    </row>
    <row r="122" spans="1:9" x14ac:dyDescent="0.3">
      <c r="A122" s="3">
        <v>2024</v>
      </c>
      <c r="B122" s="3" t="s">
        <v>41</v>
      </c>
      <c r="C122" s="3" t="s">
        <v>46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f t="shared" si="1"/>
        <v>0</v>
      </c>
    </row>
    <row r="123" spans="1:9" x14ac:dyDescent="0.3">
      <c r="A123" s="3">
        <v>2024</v>
      </c>
      <c r="B123" s="3" t="s">
        <v>41</v>
      </c>
      <c r="C123" s="3" t="s">
        <v>47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f t="shared" si="1"/>
        <v>0</v>
      </c>
    </row>
    <row r="124" spans="1:9" x14ac:dyDescent="0.3">
      <c r="A124" s="3">
        <v>2024</v>
      </c>
      <c r="B124" s="3" t="s">
        <v>41</v>
      </c>
      <c r="C124" s="3" t="s">
        <v>48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f t="shared" si="1"/>
        <v>0</v>
      </c>
    </row>
    <row r="125" spans="1:9" x14ac:dyDescent="0.3">
      <c r="A125" s="3">
        <v>2024</v>
      </c>
      <c r="B125" s="3" t="s">
        <v>41</v>
      </c>
      <c r="C125" s="3" t="s">
        <v>49</v>
      </c>
      <c r="D125" s="3">
        <v>103603420</v>
      </c>
      <c r="E125" s="3">
        <v>0</v>
      </c>
      <c r="F125" s="3">
        <v>0</v>
      </c>
      <c r="G125" s="3">
        <v>0</v>
      </c>
      <c r="H125" s="3">
        <v>0</v>
      </c>
      <c r="I125" s="3">
        <f t="shared" si="1"/>
        <v>103603420</v>
      </c>
    </row>
    <row r="126" spans="1:9" x14ac:dyDescent="0.3">
      <c r="A126" s="3">
        <v>2024</v>
      </c>
      <c r="B126" s="3" t="s">
        <v>41</v>
      </c>
      <c r="C126" s="3" t="s">
        <v>50</v>
      </c>
      <c r="D126" s="3">
        <v>778657</v>
      </c>
      <c r="E126" s="3">
        <v>0</v>
      </c>
      <c r="F126" s="3">
        <v>0</v>
      </c>
      <c r="G126" s="3">
        <v>0</v>
      </c>
      <c r="H126" s="3">
        <v>0</v>
      </c>
      <c r="I126" s="3">
        <f t="shared" si="1"/>
        <v>778657</v>
      </c>
    </row>
    <row r="127" spans="1:9" x14ac:dyDescent="0.3">
      <c r="A127" s="3">
        <v>2024</v>
      </c>
      <c r="B127" s="3" t="s">
        <v>41</v>
      </c>
      <c r="C127" s="3" t="s">
        <v>51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f t="shared" si="1"/>
        <v>0</v>
      </c>
    </row>
    <row r="128" spans="1:9" x14ac:dyDescent="0.3">
      <c r="A128" s="3">
        <v>2024</v>
      </c>
      <c r="B128" s="3" t="s">
        <v>41</v>
      </c>
      <c r="C128" s="3" t="s">
        <v>52</v>
      </c>
      <c r="D128" s="3">
        <v>54978521</v>
      </c>
      <c r="E128" s="3">
        <v>0</v>
      </c>
      <c r="F128" s="3">
        <v>0</v>
      </c>
      <c r="G128" s="3">
        <v>0</v>
      </c>
      <c r="H128" s="3">
        <v>0</v>
      </c>
      <c r="I128" s="3">
        <f t="shared" si="1"/>
        <v>54978521</v>
      </c>
    </row>
    <row r="129" spans="1:9" x14ac:dyDescent="0.3">
      <c r="A129" s="3">
        <v>2024</v>
      </c>
      <c r="B129" s="3" t="s">
        <v>53</v>
      </c>
      <c r="C129" s="3" t="s">
        <v>54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f t="shared" si="1"/>
        <v>0</v>
      </c>
    </row>
    <row r="130" spans="1:9" x14ac:dyDescent="0.3">
      <c r="A130" s="3">
        <v>2024</v>
      </c>
      <c r="B130" s="3" t="s">
        <v>53</v>
      </c>
      <c r="C130" s="3" t="s">
        <v>55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f t="shared" si="1"/>
        <v>0</v>
      </c>
    </row>
    <row r="131" spans="1:9" x14ac:dyDescent="0.3">
      <c r="A131" s="3">
        <v>2024</v>
      </c>
      <c r="B131" s="3" t="s">
        <v>53</v>
      </c>
      <c r="C131" s="3" t="s">
        <v>56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f t="shared" si="1"/>
        <v>0</v>
      </c>
    </row>
    <row r="132" spans="1:9" x14ac:dyDescent="0.3">
      <c r="A132" s="3">
        <v>2024</v>
      </c>
      <c r="B132" s="3" t="s">
        <v>53</v>
      </c>
      <c r="C132" s="3" t="s">
        <v>57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f t="shared" si="1"/>
        <v>0</v>
      </c>
    </row>
    <row r="133" spans="1:9" x14ac:dyDescent="0.3">
      <c r="A133" s="3">
        <v>2024</v>
      </c>
      <c r="B133" s="3" t="s">
        <v>53</v>
      </c>
      <c r="C133" s="3" t="s">
        <v>58</v>
      </c>
      <c r="D133" s="3">
        <v>92090</v>
      </c>
      <c r="E133" s="3">
        <v>0</v>
      </c>
      <c r="F133" s="3">
        <v>0</v>
      </c>
      <c r="G133" s="3">
        <v>0</v>
      </c>
      <c r="H133" s="3">
        <v>0</v>
      </c>
      <c r="I133" s="3">
        <f t="shared" ref="I133:I196" si="2">D133-SUM(E133:H133)</f>
        <v>92090</v>
      </c>
    </row>
    <row r="134" spans="1:9" x14ac:dyDescent="0.3">
      <c r="A134" s="3">
        <v>2024</v>
      </c>
      <c r="B134" s="3" t="s">
        <v>53</v>
      </c>
      <c r="C134" s="3" t="s">
        <v>59</v>
      </c>
      <c r="D134" s="3">
        <v>3777049</v>
      </c>
      <c r="E134" s="3">
        <v>0</v>
      </c>
      <c r="F134" s="3">
        <v>0</v>
      </c>
      <c r="G134" s="3">
        <v>1268042</v>
      </c>
      <c r="H134" s="3">
        <v>0</v>
      </c>
      <c r="I134" s="3">
        <f t="shared" si="2"/>
        <v>2509007</v>
      </c>
    </row>
    <row r="135" spans="1:9" x14ac:dyDescent="0.3">
      <c r="A135" s="3">
        <v>2024</v>
      </c>
      <c r="B135" s="3" t="s">
        <v>53</v>
      </c>
      <c r="C135" s="3" t="s">
        <v>60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f t="shared" si="2"/>
        <v>0</v>
      </c>
    </row>
    <row r="136" spans="1:9" x14ac:dyDescent="0.3">
      <c r="A136" s="3">
        <v>2024</v>
      </c>
      <c r="B136" s="3" t="s">
        <v>61</v>
      </c>
      <c r="C136" s="3" t="s">
        <v>62</v>
      </c>
      <c r="D136" s="3">
        <v>30052046</v>
      </c>
      <c r="E136" s="3">
        <v>0</v>
      </c>
      <c r="F136" s="3">
        <v>0</v>
      </c>
      <c r="G136" s="3">
        <v>6139646</v>
      </c>
      <c r="H136" s="3">
        <v>0</v>
      </c>
      <c r="I136" s="3">
        <f t="shared" si="2"/>
        <v>23912400</v>
      </c>
    </row>
    <row r="137" spans="1:9" x14ac:dyDescent="0.3">
      <c r="A137" s="3">
        <v>2024</v>
      </c>
      <c r="B137" s="3" t="s">
        <v>61</v>
      </c>
      <c r="C137" s="3" t="s">
        <v>63</v>
      </c>
      <c r="D137" s="3">
        <v>1132000</v>
      </c>
      <c r="E137" s="3">
        <v>0</v>
      </c>
      <c r="F137" s="3">
        <v>0</v>
      </c>
      <c r="G137" s="3">
        <v>0</v>
      </c>
      <c r="H137" s="3">
        <v>0</v>
      </c>
      <c r="I137" s="3">
        <f t="shared" si="2"/>
        <v>1132000</v>
      </c>
    </row>
    <row r="138" spans="1:9" x14ac:dyDescent="0.3">
      <c r="A138" s="3">
        <v>2024</v>
      </c>
      <c r="B138" s="3" t="s">
        <v>61</v>
      </c>
      <c r="C138" s="3" t="s">
        <v>64</v>
      </c>
      <c r="D138" s="3">
        <v>43167013</v>
      </c>
      <c r="E138" s="3">
        <v>0</v>
      </c>
      <c r="F138" s="3">
        <v>0</v>
      </c>
      <c r="G138" s="3">
        <v>16695063</v>
      </c>
      <c r="H138" s="3">
        <v>0</v>
      </c>
      <c r="I138" s="3">
        <f t="shared" si="2"/>
        <v>26471950</v>
      </c>
    </row>
    <row r="139" spans="1:9" x14ac:dyDescent="0.3">
      <c r="A139" s="3">
        <v>2024</v>
      </c>
      <c r="B139" s="3" t="s">
        <v>61</v>
      </c>
      <c r="C139" s="3" t="s">
        <v>65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f t="shared" si="2"/>
        <v>0</v>
      </c>
    </row>
    <row r="140" spans="1:9" x14ac:dyDescent="0.3">
      <c r="A140" s="3">
        <v>2024</v>
      </c>
      <c r="B140" s="3" t="s">
        <v>61</v>
      </c>
      <c r="C140" s="3" t="s">
        <v>66</v>
      </c>
      <c r="D140" s="3">
        <v>99704240</v>
      </c>
      <c r="E140" s="3">
        <v>0</v>
      </c>
      <c r="F140" s="3">
        <v>0</v>
      </c>
      <c r="G140" s="3">
        <v>0</v>
      </c>
      <c r="H140" s="3">
        <v>0</v>
      </c>
      <c r="I140" s="3">
        <f t="shared" si="2"/>
        <v>99704240</v>
      </c>
    </row>
    <row r="141" spans="1:9" x14ac:dyDescent="0.3">
      <c r="A141" s="3">
        <v>2024</v>
      </c>
      <c r="B141" s="3" t="s">
        <v>61</v>
      </c>
      <c r="C141" s="3" t="s">
        <v>67</v>
      </c>
      <c r="D141" s="3">
        <v>6558889</v>
      </c>
      <c r="E141" s="3">
        <v>0</v>
      </c>
      <c r="F141" s="3">
        <v>0</v>
      </c>
      <c r="G141" s="3">
        <v>1305200</v>
      </c>
      <c r="H141" s="3">
        <v>0</v>
      </c>
      <c r="I141" s="3">
        <f t="shared" si="2"/>
        <v>5253689</v>
      </c>
    </row>
    <row r="142" spans="1:9" x14ac:dyDescent="0.3">
      <c r="A142" s="3">
        <v>2024</v>
      </c>
      <c r="B142" s="3" t="s">
        <v>61</v>
      </c>
      <c r="C142" s="3" t="s">
        <v>68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f t="shared" si="2"/>
        <v>0</v>
      </c>
    </row>
    <row r="143" spans="1:9" x14ac:dyDescent="0.3">
      <c r="A143" s="3">
        <v>2024</v>
      </c>
      <c r="B143" s="3" t="s">
        <v>61</v>
      </c>
      <c r="C143" s="3" t="s">
        <v>69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f t="shared" si="2"/>
        <v>0</v>
      </c>
    </row>
    <row r="144" spans="1:9" x14ac:dyDescent="0.3">
      <c r="A144" s="3">
        <v>2024</v>
      </c>
      <c r="B144" s="3" t="s">
        <v>61</v>
      </c>
      <c r="C144" s="3" t="s">
        <v>70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f t="shared" si="2"/>
        <v>0</v>
      </c>
    </row>
    <row r="145" spans="1:9" x14ac:dyDescent="0.3">
      <c r="A145" s="3">
        <v>2024</v>
      </c>
      <c r="B145" s="3" t="s">
        <v>61</v>
      </c>
      <c r="C145" s="3" t="s">
        <v>71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f t="shared" si="2"/>
        <v>0</v>
      </c>
    </row>
    <row r="146" spans="1:9" x14ac:dyDescent="0.3">
      <c r="A146" s="3">
        <v>2024</v>
      </c>
      <c r="B146" s="3" t="s">
        <v>72</v>
      </c>
      <c r="C146" s="3" t="s">
        <v>73</v>
      </c>
      <c r="D146" s="3">
        <v>1100000</v>
      </c>
      <c r="E146" s="3">
        <v>0</v>
      </c>
      <c r="F146" s="3">
        <v>0</v>
      </c>
      <c r="G146" s="3">
        <v>0</v>
      </c>
      <c r="H146" s="3">
        <v>0</v>
      </c>
      <c r="I146" s="3">
        <f t="shared" si="2"/>
        <v>1100000</v>
      </c>
    </row>
    <row r="147" spans="1:9" x14ac:dyDescent="0.3">
      <c r="A147" s="3">
        <v>2024</v>
      </c>
      <c r="B147" s="3" t="s">
        <v>72</v>
      </c>
      <c r="C147" s="3" t="s">
        <v>74</v>
      </c>
      <c r="D147" s="3">
        <v>28913955</v>
      </c>
      <c r="E147" s="3">
        <v>0</v>
      </c>
      <c r="F147" s="3">
        <v>0</v>
      </c>
      <c r="G147" s="3">
        <v>3595883</v>
      </c>
      <c r="H147" s="3">
        <v>25318072</v>
      </c>
      <c r="I147" s="3">
        <f t="shared" si="2"/>
        <v>0</v>
      </c>
    </row>
    <row r="148" spans="1:9" x14ac:dyDescent="0.3">
      <c r="A148" s="3">
        <v>2024</v>
      </c>
      <c r="B148" s="3" t="s">
        <v>72</v>
      </c>
      <c r="C148" s="3" t="s">
        <v>75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f t="shared" si="2"/>
        <v>0</v>
      </c>
    </row>
    <row r="149" spans="1:9" x14ac:dyDescent="0.3">
      <c r="A149" s="3">
        <v>2024</v>
      </c>
      <c r="B149" s="3" t="s">
        <v>72</v>
      </c>
      <c r="C149" s="3" t="s">
        <v>76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f t="shared" si="2"/>
        <v>0</v>
      </c>
    </row>
    <row r="150" spans="1:9" x14ac:dyDescent="0.3">
      <c r="A150" s="3">
        <v>2024</v>
      </c>
      <c r="B150" s="3" t="s">
        <v>72</v>
      </c>
      <c r="C150" s="3" t="s">
        <v>77</v>
      </c>
      <c r="D150" s="3">
        <v>1128706</v>
      </c>
      <c r="E150" s="3">
        <v>0</v>
      </c>
      <c r="F150" s="3">
        <v>669200</v>
      </c>
      <c r="G150" s="3">
        <v>0</v>
      </c>
      <c r="H150" s="3">
        <v>0</v>
      </c>
      <c r="I150" s="3">
        <f t="shared" si="2"/>
        <v>459506</v>
      </c>
    </row>
    <row r="151" spans="1:9" x14ac:dyDescent="0.3">
      <c r="A151" s="3">
        <v>2024</v>
      </c>
      <c r="B151" s="3" t="s">
        <v>72</v>
      </c>
      <c r="C151" s="3" t="s">
        <v>78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f t="shared" si="2"/>
        <v>0</v>
      </c>
    </row>
    <row r="152" spans="1:9" x14ac:dyDescent="0.3">
      <c r="A152" s="3">
        <v>2024</v>
      </c>
      <c r="B152" s="3" t="s">
        <v>79</v>
      </c>
      <c r="C152" s="3" t="s">
        <v>80</v>
      </c>
      <c r="D152" s="3">
        <v>10322752</v>
      </c>
      <c r="E152" s="3">
        <v>0</v>
      </c>
      <c r="F152" s="3">
        <v>0</v>
      </c>
      <c r="G152" s="3">
        <v>9907342</v>
      </c>
      <c r="H152" s="3">
        <v>0</v>
      </c>
      <c r="I152" s="3">
        <f t="shared" si="2"/>
        <v>415410</v>
      </c>
    </row>
    <row r="153" spans="1:9" x14ac:dyDescent="0.3">
      <c r="A153" s="3">
        <v>2024</v>
      </c>
      <c r="B153" s="3" t="s">
        <v>79</v>
      </c>
      <c r="C153" s="3" t="s">
        <v>81</v>
      </c>
      <c r="D153" s="3">
        <v>303709</v>
      </c>
      <c r="E153" s="3">
        <v>0</v>
      </c>
      <c r="F153" s="3">
        <v>0</v>
      </c>
      <c r="G153" s="3">
        <v>0</v>
      </c>
      <c r="H153" s="3">
        <v>303709</v>
      </c>
      <c r="I153" s="3">
        <f t="shared" si="2"/>
        <v>0</v>
      </c>
    </row>
    <row r="154" spans="1:9" x14ac:dyDescent="0.3">
      <c r="A154" s="3">
        <v>2024</v>
      </c>
      <c r="B154" s="3" t="s">
        <v>79</v>
      </c>
      <c r="C154" s="3" t="s">
        <v>82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f t="shared" si="2"/>
        <v>0</v>
      </c>
    </row>
    <row r="155" spans="1:9" x14ac:dyDescent="0.3">
      <c r="A155" s="3">
        <v>2024</v>
      </c>
      <c r="B155" s="3" t="s">
        <v>79</v>
      </c>
      <c r="C155" s="3" t="s">
        <v>83</v>
      </c>
      <c r="D155" s="3">
        <v>24313956</v>
      </c>
      <c r="E155" s="3">
        <v>0</v>
      </c>
      <c r="F155" s="3">
        <v>0</v>
      </c>
      <c r="G155" s="3">
        <v>0</v>
      </c>
      <c r="H155" s="3">
        <v>0</v>
      </c>
      <c r="I155" s="3">
        <f t="shared" si="2"/>
        <v>24313956</v>
      </c>
    </row>
    <row r="156" spans="1:9" x14ac:dyDescent="0.3">
      <c r="A156" s="3">
        <v>2024</v>
      </c>
      <c r="B156" s="3" t="s">
        <v>79</v>
      </c>
      <c r="C156" s="3" t="s">
        <v>84</v>
      </c>
      <c r="D156" s="3">
        <v>115608130</v>
      </c>
      <c r="E156" s="3">
        <v>0</v>
      </c>
      <c r="F156" s="3">
        <v>0</v>
      </c>
      <c r="G156" s="3">
        <v>0</v>
      </c>
      <c r="H156" s="3">
        <v>0</v>
      </c>
      <c r="I156" s="3">
        <f t="shared" si="2"/>
        <v>115608130</v>
      </c>
    </row>
    <row r="157" spans="1:9" x14ac:dyDescent="0.3">
      <c r="A157" s="3">
        <v>2024</v>
      </c>
      <c r="B157" s="3" t="s">
        <v>79</v>
      </c>
      <c r="C157" s="3" t="s">
        <v>85</v>
      </c>
      <c r="D157" s="3">
        <v>1240975</v>
      </c>
      <c r="E157" s="3">
        <v>0</v>
      </c>
      <c r="F157" s="3">
        <v>0</v>
      </c>
      <c r="G157" s="3">
        <v>0</v>
      </c>
      <c r="H157" s="3">
        <v>0</v>
      </c>
      <c r="I157" s="3">
        <f t="shared" si="2"/>
        <v>1240975</v>
      </c>
    </row>
    <row r="158" spans="1:9" x14ac:dyDescent="0.3">
      <c r="A158" s="3">
        <v>2024</v>
      </c>
      <c r="B158" s="3" t="s">
        <v>79</v>
      </c>
      <c r="C158" s="3" t="s">
        <v>86</v>
      </c>
      <c r="D158" s="3">
        <v>14502440</v>
      </c>
      <c r="E158" s="3">
        <v>0</v>
      </c>
      <c r="F158" s="3">
        <v>0</v>
      </c>
      <c r="G158" s="3">
        <v>0</v>
      </c>
      <c r="H158" s="3">
        <v>0</v>
      </c>
      <c r="I158" s="3">
        <f t="shared" si="2"/>
        <v>14502440</v>
      </c>
    </row>
    <row r="159" spans="1:9" x14ac:dyDescent="0.3">
      <c r="A159" s="3">
        <v>2024</v>
      </c>
      <c r="B159" s="3" t="s">
        <v>79</v>
      </c>
      <c r="C159" s="3" t="s">
        <v>87</v>
      </c>
      <c r="D159" s="3">
        <v>20686143</v>
      </c>
      <c r="E159" s="3">
        <v>0</v>
      </c>
      <c r="F159" s="3">
        <v>0</v>
      </c>
      <c r="G159" s="3">
        <v>0</v>
      </c>
      <c r="H159" s="3">
        <v>0</v>
      </c>
      <c r="I159" s="3">
        <f t="shared" si="2"/>
        <v>20686143</v>
      </c>
    </row>
    <row r="160" spans="1:9" x14ac:dyDescent="0.3">
      <c r="A160" s="3">
        <v>2024</v>
      </c>
      <c r="B160" s="3" t="s">
        <v>79</v>
      </c>
      <c r="C160" s="3" t="s">
        <v>88</v>
      </c>
      <c r="D160" s="3">
        <v>184145</v>
      </c>
      <c r="E160" s="3">
        <v>0</v>
      </c>
      <c r="F160" s="3">
        <v>0</v>
      </c>
      <c r="G160" s="3">
        <v>184145</v>
      </c>
      <c r="H160" s="3">
        <v>0</v>
      </c>
      <c r="I160" s="3">
        <f t="shared" si="2"/>
        <v>0</v>
      </c>
    </row>
    <row r="161" spans="1:9" x14ac:dyDescent="0.3">
      <c r="A161" s="3">
        <v>2024</v>
      </c>
      <c r="B161" s="3" t="s">
        <v>79</v>
      </c>
      <c r="C161" s="3" t="s">
        <v>89</v>
      </c>
      <c r="D161" s="3">
        <v>54366398</v>
      </c>
      <c r="E161" s="3">
        <v>0</v>
      </c>
      <c r="F161" s="3">
        <v>9752082</v>
      </c>
      <c r="G161" s="3">
        <v>0</v>
      </c>
      <c r="H161" s="3">
        <v>0</v>
      </c>
      <c r="I161" s="3">
        <f t="shared" si="2"/>
        <v>44614316</v>
      </c>
    </row>
    <row r="162" spans="1:9" x14ac:dyDescent="0.3">
      <c r="A162" s="3">
        <v>2024</v>
      </c>
      <c r="B162" s="3" t="s">
        <v>79</v>
      </c>
      <c r="C162" s="3" t="s">
        <v>90</v>
      </c>
      <c r="D162" s="3">
        <v>1124273</v>
      </c>
      <c r="E162" s="3">
        <v>0</v>
      </c>
      <c r="F162" s="3">
        <v>0</v>
      </c>
      <c r="G162" s="3">
        <v>171072</v>
      </c>
      <c r="H162" s="3">
        <v>0</v>
      </c>
      <c r="I162" s="3">
        <f t="shared" si="2"/>
        <v>953201</v>
      </c>
    </row>
    <row r="163" spans="1:9" x14ac:dyDescent="0.3">
      <c r="A163" s="3">
        <v>2024</v>
      </c>
      <c r="B163" s="3" t="s">
        <v>79</v>
      </c>
      <c r="C163" s="3" t="s">
        <v>91</v>
      </c>
      <c r="D163" s="3">
        <v>26489900</v>
      </c>
      <c r="E163" s="3">
        <v>0</v>
      </c>
      <c r="F163" s="3">
        <v>0</v>
      </c>
      <c r="G163" s="3">
        <v>0</v>
      </c>
      <c r="H163" s="3">
        <v>0</v>
      </c>
      <c r="I163" s="3">
        <f t="shared" si="2"/>
        <v>26489900</v>
      </c>
    </row>
    <row r="164" spans="1:9" x14ac:dyDescent="0.3">
      <c r="A164" s="3">
        <v>2024</v>
      </c>
      <c r="B164" s="3" t="s">
        <v>79</v>
      </c>
      <c r="C164" s="3" t="s">
        <v>92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f t="shared" si="2"/>
        <v>0</v>
      </c>
    </row>
    <row r="165" spans="1:9" x14ac:dyDescent="0.3">
      <c r="A165" s="3">
        <v>2024</v>
      </c>
      <c r="B165" s="3" t="s">
        <v>79</v>
      </c>
      <c r="C165" s="3" t="s">
        <v>93</v>
      </c>
      <c r="D165" s="3">
        <v>204564</v>
      </c>
      <c r="E165" s="3">
        <v>0</v>
      </c>
      <c r="F165" s="3">
        <v>0</v>
      </c>
      <c r="G165" s="3">
        <v>204564</v>
      </c>
      <c r="H165" s="3">
        <v>0</v>
      </c>
      <c r="I165" s="3">
        <f t="shared" si="2"/>
        <v>0</v>
      </c>
    </row>
    <row r="166" spans="1:9" x14ac:dyDescent="0.3">
      <c r="A166" s="3">
        <v>2024</v>
      </c>
      <c r="B166" s="3" t="s">
        <v>79</v>
      </c>
      <c r="C166" s="3" t="s">
        <v>94</v>
      </c>
      <c r="D166" s="3">
        <v>8695120</v>
      </c>
      <c r="E166" s="3">
        <v>0</v>
      </c>
      <c r="F166" s="3">
        <v>0</v>
      </c>
      <c r="G166" s="3">
        <v>0</v>
      </c>
      <c r="H166" s="3">
        <v>0</v>
      </c>
      <c r="I166" s="3">
        <f t="shared" si="2"/>
        <v>8695120</v>
      </c>
    </row>
    <row r="167" spans="1:9" x14ac:dyDescent="0.3">
      <c r="A167" s="3">
        <v>2024</v>
      </c>
      <c r="B167" s="3" t="s">
        <v>79</v>
      </c>
      <c r="C167" s="3" t="s">
        <v>95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f t="shared" si="2"/>
        <v>0</v>
      </c>
    </row>
    <row r="168" spans="1:9" x14ac:dyDescent="0.3">
      <c r="A168" s="3">
        <v>2024</v>
      </c>
      <c r="B168" s="3" t="s">
        <v>79</v>
      </c>
      <c r="C168" s="3" t="s">
        <v>96</v>
      </c>
      <c r="D168" s="3">
        <v>18873537</v>
      </c>
      <c r="E168" s="3">
        <v>0</v>
      </c>
      <c r="F168" s="3">
        <v>0</v>
      </c>
      <c r="G168" s="3">
        <v>172120</v>
      </c>
      <c r="H168" s="3">
        <v>0</v>
      </c>
      <c r="I168" s="3">
        <f t="shared" si="2"/>
        <v>18701417</v>
      </c>
    </row>
    <row r="169" spans="1:9" x14ac:dyDescent="0.3">
      <c r="A169" s="3">
        <v>2024</v>
      </c>
      <c r="B169" s="3" t="s">
        <v>79</v>
      </c>
      <c r="C169" s="3" t="s">
        <v>97</v>
      </c>
      <c r="D169" s="3">
        <v>134853759</v>
      </c>
      <c r="E169" s="3">
        <v>0</v>
      </c>
      <c r="F169" s="3">
        <v>0</v>
      </c>
      <c r="G169" s="3">
        <v>0</v>
      </c>
      <c r="H169" s="3">
        <v>0</v>
      </c>
      <c r="I169" s="3">
        <f t="shared" si="2"/>
        <v>134853759</v>
      </c>
    </row>
    <row r="170" spans="1:9" x14ac:dyDescent="0.3">
      <c r="A170" s="3">
        <v>2024</v>
      </c>
      <c r="B170" s="3" t="s">
        <v>98</v>
      </c>
      <c r="C170" s="3" t="s">
        <v>99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f t="shared" si="2"/>
        <v>0</v>
      </c>
    </row>
    <row r="171" spans="1:9" x14ac:dyDescent="0.3">
      <c r="A171" s="3">
        <v>2024</v>
      </c>
      <c r="B171" s="3" t="s">
        <v>98</v>
      </c>
      <c r="C171" s="3" t="s">
        <v>100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f t="shared" si="2"/>
        <v>0</v>
      </c>
    </row>
    <row r="172" spans="1:9" x14ac:dyDescent="0.3">
      <c r="A172" s="3">
        <v>2024</v>
      </c>
      <c r="B172" s="3" t="s">
        <v>98</v>
      </c>
      <c r="C172" s="3" t="s">
        <v>101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f t="shared" si="2"/>
        <v>0</v>
      </c>
    </row>
    <row r="173" spans="1:9" x14ac:dyDescent="0.3">
      <c r="A173" s="3">
        <v>2024</v>
      </c>
      <c r="B173" s="3" t="s">
        <v>98</v>
      </c>
      <c r="C173" s="3" t="s">
        <v>102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f t="shared" si="2"/>
        <v>0</v>
      </c>
    </row>
    <row r="174" spans="1:9" x14ac:dyDescent="0.3">
      <c r="A174" s="3">
        <v>2024</v>
      </c>
      <c r="B174" s="3" t="s">
        <v>103</v>
      </c>
      <c r="C174" s="3" t="s">
        <v>104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f t="shared" si="2"/>
        <v>0</v>
      </c>
    </row>
    <row r="175" spans="1:9" x14ac:dyDescent="0.3">
      <c r="A175" s="3">
        <v>2024</v>
      </c>
      <c r="B175" s="3" t="s">
        <v>103</v>
      </c>
      <c r="C175" s="3" t="s">
        <v>105</v>
      </c>
      <c r="D175" s="3">
        <v>1870882</v>
      </c>
      <c r="E175" s="3">
        <v>0</v>
      </c>
      <c r="F175" s="3">
        <v>0</v>
      </c>
      <c r="G175" s="3">
        <v>661353</v>
      </c>
      <c r="H175" s="3">
        <v>0</v>
      </c>
      <c r="I175" s="3">
        <f t="shared" si="2"/>
        <v>1209529</v>
      </c>
    </row>
    <row r="176" spans="1:9" x14ac:dyDescent="0.3">
      <c r="A176" s="3">
        <v>2024</v>
      </c>
      <c r="B176" s="3" t="s">
        <v>103</v>
      </c>
      <c r="C176" s="3" t="s">
        <v>106</v>
      </c>
      <c r="D176" s="3">
        <v>28896556</v>
      </c>
      <c r="E176" s="3">
        <v>0</v>
      </c>
      <c r="F176" s="3">
        <v>0</v>
      </c>
      <c r="G176" s="3">
        <v>4828696</v>
      </c>
      <c r="H176" s="3">
        <v>0</v>
      </c>
      <c r="I176" s="3">
        <f t="shared" si="2"/>
        <v>24067860</v>
      </c>
    </row>
    <row r="177" spans="1:9" x14ac:dyDescent="0.3">
      <c r="A177" s="3">
        <v>2024</v>
      </c>
      <c r="B177" s="3" t="s">
        <v>103</v>
      </c>
      <c r="C177" s="3" t="s">
        <v>107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f t="shared" si="2"/>
        <v>0</v>
      </c>
    </row>
    <row r="178" spans="1:9" x14ac:dyDescent="0.3">
      <c r="A178" s="3">
        <v>2024</v>
      </c>
      <c r="B178" s="3" t="s">
        <v>103</v>
      </c>
      <c r="C178" s="3" t="s">
        <v>108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f t="shared" si="2"/>
        <v>0</v>
      </c>
    </row>
    <row r="179" spans="1:9" x14ac:dyDescent="0.3">
      <c r="A179" s="3">
        <v>2024</v>
      </c>
      <c r="B179" s="3" t="s">
        <v>103</v>
      </c>
      <c r="C179" s="3" t="s">
        <v>109</v>
      </c>
      <c r="D179" s="3">
        <v>38946845</v>
      </c>
      <c r="E179" s="3">
        <v>0</v>
      </c>
      <c r="F179" s="3">
        <v>0</v>
      </c>
      <c r="G179" s="3">
        <v>0</v>
      </c>
      <c r="H179" s="3">
        <v>0</v>
      </c>
      <c r="I179" s="3">
        <f t="shared" si="2"/>
        <v>38946845</v>
      </c>
    </row>
    <row r="180" spans="1:9" x14ac:dyDescent="0.3">
      <c r="A180" s="3">
        <v>2024</v>
      </c>
      <c r="B180" s="3" t="s">
        <v>103</v>
      </c>
      <c r="C180" s="3" t="s">
        <v>110</v>
      </c>
      <c r="D180" s="3">
        <v>258427046</v>
      </c>
      <c r="E180" s="3">
        <v>0</v>
      </c>
      <c r="F180" s="3">
        <v>0</v>
      </c>
      <c r="G180" s="3">
        <v>5885054</v>
      </c>
      <c r="H180" s="3">
        <v>232265769</v>
      </c>
      <c r="I180" s="3">
        <f t="shared" si="2"/>
        <v>20276223</v>
      </c>
    </row>
    <row r="181" spans="1:9" x14ac:dyDescent="0.3">
      <c r="A181" s="3">
        <v>2024</v>
      </c>
      <c r="B181" s="3" t="s">
        <v>103</v>
      </c>
      <c r="C181" s="3" t="s">
        <v>111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f t="shared" si="2"/>
        <v>0</v>
      </c>
    </row>
    <row r="182" spans="1:9" x14ac:dyDescent="0.3">
      <c r="A182" s="4">
        <v>2023</v>
      </c>
      <c r="B182" s="4" t="s">
        <v>14</v>
      </c>
      <c r="C182" s="4" t="s">
        <v>15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f t="shared" si="2"/>
        <v>0</v>
      </c>
    </row>
    <row r="183" spans="1:9" x14ac:dyDescent="0.3">
      <c r="A183" s="4">
        <v>2023</v>
      </c>
      <c r="B183" s="4" t="s">
        <v>14</v>
      </c>
      <c r="C183" s="4" t="s">
        <v>16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f t="shared" si="2"/>
        <v>0</v>
      </c>
    </row>
    <row r="184" spans="1:9" x14ac:dyDescent="0.3">
      <c r="A184" s="4">
        <v>2023</v>
      </c>
      <c r="B184" s="4" t="s">
        <v>14</v>
      </c>
      <c r="C184" s="4" t="s">
        <v>17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f t="shared" si="2"/>
        <v>0</v>
      </c>
    </row>
    <row r="185" spans="1:9" x14ac:dyDescent="0.3">
      <c r="A185" s="4">
        <v>2023</v>
      </c>
      <c r="B185" s="4" t="s">
        <v>14</v>
      </c>
      <c r="C185" s="4" t="s">
        <v>18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f t="shared" si="2"/>
        <v>0</v>
      </c>
    </row>
    <row r="186" spans="1:9" x14ac:dyDescent="0.3">
      <c r="A186" s="4">
        <v>2023</v>
      </c>
      <c r="B186" s="4" t="s">
        <v>14</v>
      </c>
      <c r="C186" s="4" t="s">
        <v>19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f t="shared" si="2"/>
        <v>0</v>
      </c>
    </row>
    <row r="187" spans="1:9" x14ac:dyDescent="0.3">
      <c r="A187" s="4">
        <v>2023</v>
      </c>
      <c r="B187" s="4" t="s">
        <v>14</v>
      </c>
      <c r="C187" s="4" t="s">
        <v>20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f t="shared" si="2"/>
        <v>0</v>
      </c>
    </row>
    <row r="188" spans="1:9" x14ac:dyDescent="0.3">
      <c r="A188" s="4">
        <v>2023</v>
      </c>
      <c r="B188" s="4" t="s">
        <v>14</v>
      </c>
      <c r="C188" s="4" t="s">
        <v>21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f t="shared" si="2"/>
        <v>0</v>
      </c>
    </row>
    <row r="189" spans="1:9" x14ac:dyDescent="0.3">
      <c r="A189" s="4">
        <v>2023</v>
      </c>
      <c r="B189" s="4" t="s">
        <v>14</v>
      </c>
      <c r="C189" s="4" t="s">
        <v>22</v>
      </c>
      <c r="D189" s="4">
        <v>26057592</v>
      </c>
      <c r="E189" s="4">
        <v>26057592</v>
      </c>
      <c r="F189" s="4">
        <v>0</v>
      </c>
      <c r="G189" s="4">
        <v>0</v>
      </c>
      <c r="H189" s="4">
        <v>0</v>
      </c>
      <c r="I189" s="4">
        <f t="shared" si="2"/>
        <v>0</v>
      </c>
    </row>
    <row r="190" spans="1:9" x14ac:dyDescent="0.3">
      <c r="A190" s="4">
        <v>2023</v>
      </c>
      <c r="B190" s="4" t="s">
        <v>14</v>
      </c>
      <c r="C190" s="4" t="s">
        <v>23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f t="shared" si="2"/>
        <v>0</v>
      </c>
    </row>
    <row r="191" spans="1:9" x14ac:dyDescent="0.3">
      <c r="A191" s="4">
        <v>2023</v>
      </c>
      <c r="B191" s="4" t="s">
        <v>14</v>
      </c>
      <c r="C191" s="4" t="s">
        <v>24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f t="shared" si="2"/>
        <v>0</v>
      </c>
    </row>
    <row r="192" spans="1:9" x14ac:dyDescent="0.3">
      <c r="A192" s="4">
        <v>2023</v>
      </c>
      <c r="B192" s="4" t="s">
        <v>14</v>
      </c>
      <c r="C192" s="4" t="s">
        <v>25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f t="shared" si="2"/>
        <v>0</v>
      </c>
    </row>
    <row r="193" spans="1:9" x14ac:dyDescent="0.3">
      <c r="A193" s="4">
        <v>2023</v>
      </c>
      <c r="B193" s="4" t="s">
        <v>26</v>
      </c>
      <c r="C193" s="4" t="s">
        <v>27</v>
      </c>
      <c r="D193" s="4">
        <v>48851884</v>
      </c>
      <c r="E193" s="4">
        <v>0</v>
      </c>
      <c r="F193" s="4">
        <v>0</v>
      </c>
      <c r="G193" s="4">
        <v>0</v>
      </c>
      <c r="H193" s="4">
        <v>0</v>
      </c>
      <c r="I193" s="4">
        <f t="shared" si="2"/>
        <v>48851884</v>
      </c>
    </row>
    <row r="194" spans="1:9" x14ac:dyDescent="0.3">
      <c r="A194" s="4">
        <v>2023</v>
      </c>
      <c r="B194" s="4" t="s">
        <v>26</v>
      </c>
      <c r="C194" s="4" t="s">
        <v>28</v>
      </c>
      <c r="D194" s="4">
        <v>124942000</v>
      </c>
      <c r="E194" s="4">
        <v>0</v>
      </c>
      <c r="F194" s="4">
        <v>0</v>
      </c>
      <c r="G194" s="4">
        <v>0</v>
      </c>
      <c r="H194" s="4">
        <v>0</v>
      </c>
      <c r="I194" s="4">
        <f t="shared" si="2"/>
        <v>124942000</v>
      </c>
    </row>
    <row r="195" spans="1:9" x14ac:dyDescent="0.3">
      <c r="A195" s="4">
        <v>2023</v>
      </c>
      <c r="B195" s="4" t="s">
        <v>26</v>
      </c>
      <c r="C195" s="4" t="s">
        <v>29</v>
      </c>
      <c r="D195" s="4">
        <v>38500</v>
      </c>
      <c r="E195" s="4">
        <v>0</v>
      </c>
      <c r="F195" s="4">
        <v>0</v>
      </c>
      <c r="G195" s="4">
        <v>0</v>
      </c>
      <c r="H195" s="4">
        <v>0</v>
      </c>
      <c r="I195" s="4">
        <f t="shared" si="2"/>
        <v>38500</v>
      </c>
    </row>
    <row r="196" spans="1:9" x14ac:dyDescent="0.3">
      <c r="A196" s="4">
        <v>2023</v>
      </c>
      <c r="B196" s="4" t="s">
        <v>26</v>
      </c>
      <c r="C196" s="4" t="s">
        <v>30</v>
      </c>
      <c r="D196" s="4">
        <v>28164737</v>
      </c>
      <c r="E196" s="4">
        <v>0</v>
      </c>
      <c r="F196" s="4">
        <v>0</v>
      </c>
      <c r="G196" s="4">
        <v>1425551</v>
      </c>
      <c r="H196" s="4">
        <v>26739186</v>
      </c>
      <c r="I196" s="4">
        <f t="shared" si="2"/>
        <v>0</v>
      </c>
    </row>
    <row r="197" spans="1:9" x14ac:dyDescent="0.3">
      <c r="A197" s="4">
        <v>2023</v>
      </c>
      <c r="B197" s="4" t="s">
        <v>26</v>
      </c>
      <c r="C197" s="4" t="s">
        <v>31</v>
      </c>
      <c r="D197" s="4">
        <v>43273159</v>
      </c>
      <c r="E197" s="4">
        <v>0</v>
      </c>
      <c r="F197" s="4">
        <v>0</v>
      </c>
      <c r="G197" s="4">
        <v>0</v>
      </c>
      <c r="H197" s="4">
        <v>0</v>
      </c>
      <c r="I197" s="4">
        <f t="shared" ref="I197:I258" si="3">D197-SUM(E197:H197)</f>
        <v>43273159</v>
      </c>
    </row>
    <row r="198" spans="1:9" x14ac:dyDescent="0.3">
      <c r="A198" s="4">
        <v>2023</v>
      </c>
      <c r="B198" s="4" t="s">
        <v>26</v>
      </c>
      <c r="C198" s="4" t="s">
        <v>32</v>
      </c>
      <c r="D198" s="4">
        <v>40504928</v>
      </c>
      <c r="E198" s="4">
        <v>0</v>
      </c>
      <c r="F198" s="4">
        <v>0</v>
      </c>
      <c r="G198" s="4">
        <v>1866798</v>
      </c>
      <c r="H198" s="4">
        <v>0</v>
      </c>
      <c r="I198" s="4">
        <f t="shared" si="3"/>
        <v>38638130</v>
      </c>
    </row>
    <row r="199" spans="1:9" x14ac:dyDescent="0.3">
      <c r="A199" s="4">
        <v>2023</v>
      </c>
      <c r="B199" s="4" t="s">
        <v>26</v>
      </c>
      <c r="C199" s="4" t="s">
        <v>33</v>
      </c>
      <c r="D199" s="4">
        <v>1158633</v>
      </c>
      <c r="E199" s="4">
        <v>0</v>
      </c>
      <c r="F199" s="4">
        <v>0</v>
      </c>
      <c r="G199" s="4">
        <v>0</v>
      </c>
      <c r="H199" s="4">
        <v>0</v>
      </c>
      <c r="I199" s="4">
        <f t="shared" si="3"/>
        <v>1158633</v>
      </c>
    </row>
    <row r="200" spans="1:9" x14ac:dyDescent="0.3">
      <c r="A200" s="4">
        <v>2023</v>
      </c>
      <c r="B200" s="4" t="s">
        <v>26</v>
      </c>
      <c r="C200" s="4" t="s">
        <v>34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f t="shared" si="3"/>
        <v>0</v>
      </c>
    </row>
    <row r="201" spans="1:9" x14ac:dyDescent="0.3">
      <c r="A201" s="4">
        <v>2023</v>
      </c>
      <c r="B201" s="4" t="s">
        <v>26</v>
      </c>
      <c r="C201" s="4" t="s">
        <v>35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f t="shared" si="3"/>
        <v>0</v>
      </c>
    </row>
    <row r="202" spans="1:9" x14ac:dyDescent="0.3">
      <c r="A202" s="4">
        <v>2023</v>
      </c>
      <c r="B202" s="4" t="s">
        <v>26</v>
      </c>
      <c r="C202" s="4" t="s">
        <v>36</v>
      </c>
      <c r="D202" s="4">
        <v>35074506</v>
      </c>
      <c r="E202" s="4">
        <v>0</v>
      </c>
      <c r="F202" s="4">
        <v>0</v>
      </c>
      <c r="G202" s="4">
        <v>6582048</v>
      </c>
      <c r="H202" s="4">
        <v>0</v>
      </c>
      <c r="I202" s="4">
        <f t="shared" si="3"/>
        <v>28492458</v>
      </c>
    </row>
    <row r="203" spans="1:9" x14ac:dyDescent="0.3">
      <c r="A203" s="4">
        <v>2023</v>
      </c>
      <c r="B203" s="4" t="s">
        <v>26</v>
      </c>
      <c r="C203" s="4" t="s">
        <v>37</v>
      </c>
      <c r="D203" s="4">
        <v>12509713</v>
      </c>
      <c r="E203" s="4">
        <v>0</v>
      </c>
      <c r="F203" s="4">
        <v>0</v>
      </c>
      <c r="G203" s="4">
        <v>0</v>
      </c>
      <c r="H203" s="4">
        <v>0</v>
      </c>
      <c r="I203" s="4">
        <f t="shared" si="3"/>
        <v>12509713</v>
      </c>
    </row>
    <row r="204" spans="1:9" x14ac:dyDescent="0.3">
      <c r="A204" s="4">
        <v>2023</v>
      </c>
      <c r="B204" s="4" t="s">
        <v>26</v>
      </c>
      <c r="C204" s="4" t="s">
        <v>38</v>
      </c>
      <c r="D204" s="4">
        <v>6293331</v>
      </c>
      <c r="E204" s="4">
        <v>0</v>
      </c>
      <c r="F204" s="4">
        <v>0</v>
      </c>
      <c r="G204" s="4">
        <v>0</v>
      </c>
      <c r="H204" s="4">
        <v>0</v>
      </c>
      <c r="I204" s="4">
        <f t="shared" si="3"/>
        <v>6293331</v>
      </c>
    </row>
    <row r="205" spans="1:9" x14ac:dyDescent="0.3">
      <c r="A205" s="4">
        <v>2023</v>
      </c>
      <c r="B205" s="4" t="s">
        <v>26</v>
      </c>
      <c r="C205" s="4" t="s">
        <v>39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f t="shared" si="3"/>
        <v>0</v>
      </c>
    </row>
    <row r="206" spans="1:9" x14ac:dyDescent="0.3">
      <c r="A206" s="4">
        <v>2023</v>
      </c>
      <c r="B206" s="4" t="s">
        <v>26</v>
      </c>
      <c r="C206" s="4" t="s">
        <v>40</v>
      </c>
      <c r="D206" s="4">
        <v>8918994</v>
      </c>
      <c r="E206" s="4">
        <v>0</v>
      </c>
      <c r="F206" s="4">
        <v>0</v>
      </c>
      <c r="G206" s="4">
        <v>0</v>
      </c>
      <c r="H206" s="4">
        <v>0</v>
      </c>
      <c r="I206" s="4">
        <f t="shared" si="3"/>
        <v>8918994</v>
      </c>
    </row>
    <row r="207" spans="1:9" x14ac:dyDescent="0.3">
      <c r="A207" s="4">
        <v>2023</v>
      </c>
      <c r="B207" s="4" t="s">
        <v>41</v>
      </c>
      <c r="C207" s="4" t="s">
        <v>42</v>
      </c>
      <c r="D207" s="4">
        <v>28335450</v>
      </c>
      <c r="E207" s="4">
        <v>0</v>
      </c>
      <c r="F207" s="4">
        <v>0</v>
      </c>
      <c r="G207" s="4">
        <v>0</v>
      </c>
      <c r="H207" s="4">
        <v>0</v>
      </c>
      <c r="I207" s="4">
        <f t="shared" si="3"/>
        <v>28335450</v>
      </c>
    </row>
    <row r="208" spans="1:9" x14ac:dyDescent="0.3">
      <c r="A208" s="4">
        <v>2023</v>
      </c>
      <c r="B208" s="4" t="s">
        <v>41</v>
      </c>
      <c r="C208" s="4" t="s">
        <v>43</v>
      </c>
      <c r="D208" s="4">
        <v>29214240</v>
      </c>
      <c r="E208" s="4">
        <v>0</v>
      </c>
      <c r="F208" s="4">
        <v>29214240</v>
      </c>
      <c r="G208" s="4">
        <v>0</v>
      </c>
      <c r="H208" s="4">
        <v>0</v>
      </c>
      <c r="I208" s="4">
        <f t="shared" si="3"/>
        <v>0</v>
      </c>
    </row>
    <row r="209" spans="1:9" x14ac:dyDescent="0.3">
      <c r="A209" s="4">
        <v>2023</v>
      </c>
      <c r="B209" s="4" t="s">
        <v>41</v>
      </c>
      <c r="C209" s="4" t="s">
        <v>44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f t="shared" si="3"/>
        <v>0</v>
      </c>
    </row>
    <row r="210" spans="1:9" x14ac:dyDescent="0.3">
      <c r="A210" s="4">
        <v>2023</v>
      </c>
      <c r="B210" s="4" t="s">
        <v>41</v>
      </c>
      <c r="C210" s="4" t="s">
        <v>45</v>
      </c>
      <c r="D210" s="4">
        <v>4085005</v>
      </c>
      <c r="E210" s="4">
        <v>0</v>
      </c>
      <c r="F210" s="4">
        <v>1178205</v>
      </c>
      <c r="G210" s="4">
        <v>0</v>
      </c>
      <c r="H210" s="4">
        <v>0</v>
      </c>
      <c r="I210" s="4">
        <f t="shared" si="3"/>
        <v>2906800</v>
      </c>
    </row>
    <row r="211" spans="1:9" x14ac:dyDescent="0.3">
      <c r="A211" s="4">
        <v>2023</v>
      </c>
      <c r="B211" s="4" t="s">
        <v>41</v>
      </c>
      <c r="C211" s="4" t="s">
        <v>46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f t="shared" si="3"/>
        <v>0</v>
      </c>
    </row>
    <row r="212" spans="1:9" x14ac:dyDescent="0.3">
      <c r="A212" s="4">
        <v>2023</v>
      </c>
      <c r="B212" s="4" t="s">
        <v>41</v>
      </c>
      <c r="C212" s="4" t="s">
        <v>47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f t="shared" si="3"/>
        <v>0</v>
      </c>
    </row>
    <row r="213" spans="1:9" x14ac:dyDescent="0.3">
      <c r="A213" s="4">
        <v>2023</v>
      </c>
      <c r="B213" s="4" t="s">
        <v>41</v>
      </c>
      <c r="C213" s="4" t="s">
        <v>48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f t="shared" si="3"/>
        <v>0</v>
      </c>
    </row>
    <row r="214" spans="1:9" x14ac:dyDescent="0.3">
      <c r="A214" s="4">
        <v>2023</v>
      </c>
      <c r="B214" s="4" t="s">
        <v>41</v>
      </c>
      <c r="C214" s="4" t="s">
        <v>49</v>
      </c>
      <c r="D214" s="4">
        <v>152866400</v>
      </c>
      <c r="E214" s="4">
        <v>0</v>
      </c>
      <c r="F214" s="4">
        <v>0</v>
      </c>
      <c r="G214" s="4">
        <v>0</v>
      </c>
      <c r="H214" s="4">
        <v>0</v>
      </c>
      <c r="I214" s="4">
        <f t="shared" si="3"/>
        <v>152866400</v>
      </c>
    </row>
    <row r="215" spans="1:9" x14ac:dyDescent="0.3">
      <c r="A215" s="4">
        <v>2023</v>
      </c>
      <c r="B215" s="4" t="s">
        <v>41</v>
      </c>
      <c r="C215" s="4" t="s">
        <v>50</v>
      </c>
      <c r="D215" s="4">
        <v>433340</v>
      </c>
      <c r="E215" s="4">
        <v>0</v>
      </c>
      <c r="F215" s="4">
        <v>0</v>
      </c>
      <c r="G215" s="4">
        <v>0</v>
      </c>
      <c r="H215" s="4">
        <v>0</v>
      </c>
      <c r="I215" s="4">
        <f t="shared" si="3"/>
        <v>433340</v>
      </c>
    </row>
    <row r="216" spans="1:9" x14ac:dyDescent="0.3">
      <c r="A216" s="4">
        <v>2023</v>
      </c>
      <c r="B216" s="4" t="s">
        <v>41</v>
      </c>
      <c r="C216" s="4" t="s">
        <v>51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f t="shared" si="3"/>
        <v>0</v>
      </c>
    </row>
    <row r="217" spans="1:9" x14ac:dyDescent="0.3">
      <c r="A217" s="4">
        <v>2023</v>
      </c>
      <c r="B217" s="4" t="s">
        <v>41</v>
      </c>
      <c r="C217" s="4" t="s">
        <v>52</v>
      </c>
      <c r="D217" s="4">
        <v>85868424</v>
      </c>
      <c r="E217" s="4">
        <v>0</v>
      </c>
      <c r="F217" s="4">
        <v>958694</v>
      </c>
      <c r="G217" s="4">
        <v>0</v>
      </c>
      <c r="H217" s="4">
        <v>0</v>
      </c>
      <c r="I217" s="4">
        <f t="shared" si="3"/>
        <v>84909730</v>
      </c>
    </row>
    <row r="218" spans="1:9" x14ac:dyDescent="0.3">
      <c r="A218" s="4">
        <v>2023</v>
      </c>
      <c r="B218" s="4" t="s">
        <v>53</v>
      </c>
      <c r="C218" s="4" t="s">
        <v>54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f t="shared" si="3"/>
        <v>0</v>
      </c>
    </row>
    <row r="219" spans="1:9" x14ac:dyDescent="0.3">
      <c r="A219" s="4">
        <v>2023</v>
      </c>
      <c r="B219" s="4" t="s">
        <v>53</v>
      </c>
      <c r="C219" s="4" t="s">
        <v>55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f t="shared" si="3"/>
        <v>0</v>
      </c>
    </row>
    <row r="220" spans="1:9" x14ac:dyDescent="0.3">
      <c r="A220" s="4">
        <v>2023</v>
      </c>
      <c r="B220" s="4" t="s">
        <v>53</v>
      </c>
      <c r="C220" s="4" t="s">
        <v>56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f t="shared" si="3"/>
        <v>0</v>
      </c>
    </row>
    <row r="221" spans="1:9" x14ac:dyDescent="0.3">
      <c r="A221" s="4">
        <v>2023</v>
      </c>
      <c r="B221" s="4" t="s">
        <v>53</v>
      </c>
      <c r="C221" s="4" t="s">
        <v>57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f t="shared" si="3"/>
        <v>0</v>
      </c>
    </row>
    <row r="222" spans="1:9" x14ac:dyDescent="0.3">
      <c r="A222" s="4">
        <v>2023</v>
      </c>
      <c r="B222" s="4" t="s">
        <v>53</v>
      </c>
      <c r="C222" s="4" t="s">
        <v>58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f t="shared" si="3"/>
        <v>0</v>
      </c>
    </row>
    <row r="223" spans="1:9" x14ac:dyDescent="0.3">
      <c r="A223" s="4">
        <v>2023</v>
      </c>
      <c r="B223" s="4" t="s">
        <v>53</v>
      </c>
      <c r="C223" s="4" t="s">
        <v>59</v>
      </c>
      <c r="D223" s="4">
        <v>3664417</v>
      </c>
      <c r="E223" s="4">
        <v>0</v>
      </c>
      <c r="F223" s="4">
        <v>0</v>
      </c>
      <c r="G223" s="4">
        <v>1056917</v>
      </c>
      <c r="H223" s="4">
        <v>0</v>
      </c>
      <c r="I223" s="4">
        <f t="shared" si="3"/>
        <v>2607500</v>
      </c>
    </row>
    <row r="224" spans="1:9" x14ac:dyDescent="0.3">
      <c r="A224" s="4">
        <v>2023</v>
      </c>
      <c r="B224" s="4" t="s">
        <v>53</v>
      </c>
      <c r="C224" s="4" t="s">
        <v>60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f t="shared" si="3"/>
        <v>0</v>
      </c>
    </row>
    <row r="225" spans="1:9" x14ac:dyDescent="0.3">
      <c r="A225" s="4">
        <v>2023</v>
      </c>
      <c r="B225" s="4" t="s">
        <v>61</v>
      </c>
      <c r="C225" s="4" t="s">
        <v>62</v>
      </c>
      <c r="D225" s="4">
        <v>25545321</v>
      </c>
      <c r="E225" s="4">
        <v>0</v>
      </c>
      <c r="F225" s="4">
        <v>0</v>
      </c>
      <c r="G225" s="4">
        <v>5558870</v>
      </c>
      <c r="H225" s="4">
        <v>0</v>
      </c>
      <c r="I225" s="4">
        <f t="shared" si="3"/>
        <v>19986451</v>
      </c>
    </row>
    <row r="226" spans="1:9" x14ac:dyDescent="0.3">
      <c r="A226" s="4">
        <v>2023</v>
      </c>
      <c r="B226" s="4" t="s">
        <v>61</v>
      </c>
      <c r="C226" s="4" t="s">
        <v>63</v>
      </c>
      <c r="D226" s="4">
        <v>152500</v>
      </c>
      <c r="E226" s="4">
        <v>0</v>
      </c>
      <c r="F226" s="4">
        <v>0</v>
      </c>
      <c r="G226" s="4">
        <v>0</v>
      </c>
      <c r="H226" s="4">
        <v>0</v>
      </c>
      <c r="I226" s="4">
        <f t="shared" si="3"/>
        <v>152500</v>
      </c>
    </row>
    <row r="227" spans="1:9" x14ac:dyDescent="0.3">
      <c r="A227" s="4">
        <v>2023</v>
      </c>
      <c r="B227" s="4" t="s">
        <v>61</v>
      </c>
      <c r="C227" s="4" t="s">
        <v>64</v>
      </c>
      <c r="D227" s="4">
        <v>42875221</v>
      </c>
      <c r="E227" s="4">
        <v>0</v>
      </c>
      <c r="F227" s="4">
        <v>0</v>
      </c>
      <c r="G227" s="4">
        <v>25289221</v>
      </c>
      <c r="H227" s="4">
        <v>0</v>
      </c>
      <c r="I227" s="4">
        <f t="shared" si="3"/>
        <v>17586000</v>
      </c>
    </row>
    <row r="228" spans="1:9" x14ac:dyDescent="0.3">
      <c r="A228" s="4">
        <v>2023</v>
      </c>
      <c r="B228" s="4" t="s">
        <v>61</v>
      </c>
      <c r="C228" s="4" t="s">
        <v>65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f t="shared" si="3"/>
        <v>0</v>
      </c>
    </row>
    <row r="229" spans="1:9" x14ac:dyDescent="0.3">
      <c r="A229" s="4">
        <v>2023</v>
      </c>
      <c r="B229" s="4" t="s">
        <v>61</v>
      </c>
      <c r="C229" s="4" t="s">
        <v>66</v>
      </c>
      <c r="D229" s="4">
        <v>121941801</v>
      </c>
      <c r="E229" s="4">
        <v>0</v>
      </c>
      <c r="F229" s="4">
        <v>0</v>
      </c>
      <c r="G229" s="4">
        <v>0</v>
      </c>
      <c r="H229" s="4">
        <v>0</v>
      </c>
      <c r="I229" s="4">
        <f t="shared" si="3"/>
        <v>121941801</v>
      </c>
    </row>
    <row r="230" spans="1:9" x14ac:dyDescent="0.3">
      <c r="A230" s="4">
        <v>2023</v>
      </c>
      <c r="B230" s="4" t="s">
        <v>61</v>
      </c>
      <c r="C230" s="4" t="s">
        <v>67</v>
      </c>
      <c r="D230" s="4">
        <v>24120391</v>
      </c>
      <c r="E230" s="4">
        <v>0</v>
      </c>
      <c r="F230" s="4">
        <v>0</v>
      </c>
      <c r="G230" s="4">
        <v>8575694</v>
      </c>
      <c r="H230" s="4">
        <v>0</v>
      </c>
      <c r="I230" s="4">
        <f t="shared" si="3"/>
        <v>15544697</v>
      </c>
    </row>
    <row r="231" spans="1:9" x14ac:dyDescent="0.3">
      <c r="A231" s="4">
        <v>2023</v>
      </c>
      <c r="B231" s="4" t="s">
        <v>61</v>
      </c>
      <c r="C231" s="4" t="s">
        <v>68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f t="shared" si="3"/>
        <v>0</v>
      </c>
    </row>
    <row r="232" spans="1:9" x14ac:dyDescent="0.3">
      <c r="A232" s="4">
        <v>2023</v>
      </c>
      <c r="B232" s="4" t="s">
        <v>61</v>
      </c>
      <c r="C232" s="4" t="s">
        <v>69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f t="shared" si="3"/>
        <v>0</v>
      </c>
    </row>
    <row r="233" spans="1:9" x14ac:dyDescent="0.3">
      <c r="A233" s="4">
        <v>2023</v>
      </c>
      <c r="B233" s="4" t="s">
        <v>61</v>
      </c>
      <c r="C233" s="4" t="s">
        <v>70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f t="shared" si="3"/>
        <v>0</v>
      </c>
    </row>
    <row r="234" spans="1:9" x14ac:dyDescent="0.3">
      <c r="A234" s="4">
        <v>2023</v>
      </c>
      <c r="B234" s="4" t="s">
        <v>61</v>
      </c>
      <c r="C234" s="4" t="s">
        <v>71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f t="shared" si="3"/>
        <v>0</v>
      </c>
    </row>
    <row r="235" spans="1:9" x14ac:dyDescent="0.3">
      <c r="A235" s="4">
        <v>2023</v>
      </c>
      <c r="B235" s="4" t="s">
        <v>72</v>
      </c>
      <c r="C235" s="4" t="s">
        <v>73</v>
      </c>
      <c r="D235" s="4">
        <v>390000</v>
      </c>
      <c r="E235" s="4">
        <v>0</v>
      </c>
      <c r="F235" s="4">
        <v>0</v>
      </c>
      <c r="G235" s="4">
        <v>0</v>
      </c>
      <c r="H235" s="4">
        <v>0</v>
      </c>
      <c r="I235" s="4">
        <f t="shared" si="3"/>
        <v>390000</v>
      </c>
    </row>
    <row r="236" spans="1:9" x14ac:dyDescent="0.3">
      <c r="A236" s="4">
        <v>2023</v>
      </c>
      <c r="B236" s="4" t="s">
        <v>72</v>
      </c>
      <c r="C236" s="4" t="s">
        <v>74</v>
      </c>
      <c r="D236" s="4">
        <v>14871232</v>
      </c>
      <c r="E236" s="4">
        <v>0</v>
      </c>
      <c r="F236" s="4">
        <v>0</v>
      </c>
      <c r="G236" s="4">
        <v>2667753</v>
      </c>
      <c r="H236" s="4">
        <v>12203480</v>
      </c>
      <c r="I236" s="4">
        <f t="shared" si="3"/>
        <v>-1</v>
      </c>
    </row>
    <row r="237" spans="1:9" x14ac:dyDescent="0.3">
      <c r="A237" s="4">
        <v>2023</v>
      </c>
      <c r="B237" s="4" t="s">
        <v>72</v>
      </c>
      <c r="C237" s="4" t="s">
        <v>75</v>
      </c>
      <c r="D237" s="4">
        <v>510</v>
      </c>
      <c r="E237" s="4">
        <v>0</v>
      </c>
      <c r="F237" s="4">
        <v>0</v>
      </c>
      <c r="G237" s="4">
        <v>0</v>
      </c>
      <c r="H237" s="4">
        <v>0</v>
      </c>
      <c r="I237" s="4">
        <f t="shared" si="3"/>
        <v>510</v>
      </c>
    </row>
    <row r="238" spans="1:9" x14ac:dyDescent="0.3">
      <c r="A238" s="4">
        <v>2023</v>
      </c>
      <c r="B238" s="4" t="s">
        <v>72</v>
      </c>
      <c r="C238" s="4" t="s">
        <v>76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f t="shared" si="3"/>
        <v>0</v>
      </c>
    </row>
    <row r="239" spans="1:9" x14ac:dyDescent="0.3">
      <c r="A239" s="4">
        <v>2023</v>
      </c>
      <c r="B239" s="4" t="s">
        <v>72</v>
      </c>
      <c r="C239" s="4" t="s">
        <v>77</v>
      </c>
      <c r="D239" s="4">
        <v>3220119</v>
      </c>
      <c r="E239" s="4">
        <v>0</v>
      </c>
      <c r="F239" s="4">
        <v>3051819</v>
      </c>
      <c r="G239" s="4">
        <v>0</v>
      </c>
      <c r="H239" s="4">
        <v>0</v>
      </c>
      <c r="I239" s="4">
        <f t="shared" si="3"/>
        <v>168300</v>
      </c>
    </row>
    <row r="240" spans="1:9" x14ac:dyDescent="0.3">
      <c r="A240" s="4">
        <v>2023</v>
      </c>
      <c r="B240" s="4" t="s">
        <v>72</v>
      </c>
      <c r="C240" s="4" t="s">
        <v>78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f t="shared" si="3"/>
        <v>0</v>
      </c>
    </row>
    <row r="241" spans="1:9" x14ac:dyDescent="0.3">
      <c r="A241" s="4">
        <v>2023</v>
      </c>
      <c r="B241" s="4" t="s">
        <v>79</v>
      </c>
      <c r="C241" s="4" t="s">
        <v>80</v>
      </c>
      <c r="D241" s="4">
        <v>9642851</v>
      </c>
      <c r="E241" s="4">
        <v>0</v>
      </c>
      <c r="F241" s="4">
        <v>0</v>
      </c>
      <c r="G241" s="4">
        <v>8789611</v>
      </c>
      <c r="H241" s="4">
        <v>0</v>
      </c>
      <c r="I241" s="4">
        <f t="shared" si="3"/>
        <v>853240</v>
      </c>
    </row>
    <row r="242" spans="1:9" x14ac:dyDescent="0.3">
      <c r="A242" s="4">
        <v>2023</v>
      </c>
      <c r="B242" s="4" t="s">
        <v>79</v>
      </c>
      <c r="C242" s="4" t="s">
        <v>81</v>
      </c>
      <c r="D242" s="4">
        <v>1158991</v>
      </c>
      <c r="E242" s="4">
        <v>0</v>
      </c>
      <c r="F242" s="4">
        <v>0</v>
      </c>
      <c r="G242" s="4">
        <v>0</v>
      </c>
      <c r="H242" s="4">
        <v>116465</v>
      </c>
      <c r="I242" s="4">
        <f t="shared" si="3"/>
        <v>1042526</v>
      </c>
    </row>
    <row r="243" spans="1:9" x14ac:dyDescent="0.3">
      <c r="A243" s="4">
        <v>2023</v>
      </c>
      <c r="B243" s="4" t="s">
        <v>79</v>
      </c>
      <c r="C243" s="4" t="s">
        <v>82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f t="shared" si="3"/>
        <v>0</v>
      </c>
    </row>
    <row r="244" spans="1:9" x14ac:dyDescent="0.3">
      <c r="A244" s="4">
        <v>2023</v>
      </c>
      <c r="B244" s="4" t="s">
        <v>79</v>
      </c>
      <c r="C244" s="4" t="s">
        <v>83</v>
      </c>
      <c r="D244" s="4">
        <v>12831577</v>
      </c>
      <c r="E244" s="4">
        <v>0</v>
      </c>
      <c r="F244" s="4">
        <v>0</v>
      </c>
      <c r="G244" s="4">
        <v>1588510</v>
      </c>
      <c r="H244" s="4">
        <v>0</v>
      </c>
      <c r="I244" s="4">
        <f t="shared" si="3"/>
        <v>11243067</v>
      </c>
    </row>
    <row r="245" spans="1:9" x14ac:dyDescent="0.3">
      <c r="A245" s="4">
        <v>2023</v>
      </c>
      <c r="B245" s="4" t="s">
        <v>79</v>
      </c>
      <c r="C245" s="4" t="s">
        <v>84</v>
      </c>
      <c r="D245" s="4">
        <v>127130742</v>
      </c>
      <c r="E245" s="4">
        <v>0</v>
      </c>
      <c r="F245" s="4">
        <v>0</v>
      </c>
      <c r="G245" s="4">
        <v>0</v>
      </c>
      <c r="H245" s="4">
        <v>0</v>
      </c>
      <c r="I245" s="4">
        <f t="shared" si="3"/>
        <v>127130742</v>
      </c>
    </row>
    <row r="246" spans="1:9" x14ac:dyDescent="0.3">
      <c r="A246" s="4">
        <v>2023</v>
      </c>
      <c r="B246" s="4" t="s">
        <v>79</v>
      </c>
      <c r="C246" s="4" t="s">
        <v>85</v>
      </c>
      <c r="D246" s="4">
        <v>824250</v>
      </c>
      <c r="E246" s="4">
        <v>0</v>
      </c>
      <c r="F246" s="4">
        <v>0</v>
      </c>
      <c r="G246" s="4">
        <v>0</v>
      </c>
      <c r="H246" s="4">
        <v>0</v>
      </c>
      <c r="I246" s="4">
        <f t="shared" si="3"/>
        <v>824250</v>
      </c>
    </row>
    <row r="247" spans="1:9" x14ac:dyDescent="0.3">
      <c r="A247" s="4">
        <v>2023</v>
      </c>
      <c r="B247" s="4" t="s">
        <v>79</v>
      </c>
      <c r="C247" s="4" t="s">
        <v>86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f t="shared" si="3"/>
        <v>0</v>
      </c>
    </row>
    <row r="248" spans="1:9" x14ac:dyDescent="0.3">
      <c r="A248" s="4">
        <v>2023</v>
      </c>
      <c r="B248" s="4" t="s">
        <v>79</v>
      </c>
      <c r="C248" s="4" t="s">
        <v>87</v>
      </c>
      <c r="D248" s="4">
        <v>23657693</v>
      </c>
      <c r="E248" s="4">
        <v>0</v>
      </c>
      <c r="F248" s="4">
        <v>0</v>
      </c>
      <c r="G248" s="4">
        <v>0</v>
      </c>
      <c r="H248" s="4">
        <v>0</v>
      </c>
      <c r="I248" s="4">
        <f t="shared" si="3"/>
        <v>23657693</v>
      </c>
    </row>
    <row r="249" spans="1:9" x14ac:dyDescent="0.3">
      <c r="A249" s="4">
        <v>2023</v>
      </c>
      <c r="B249" s="4" t="s">
        <v>79</v>
      </c>
      <c r="C249" s="4" t="s">
        <v>88</v>
      </c>
      <c r="D249" s="4">
        <v>7053499</v>
      </c>
      <c r="E249" s="4">
        <v>0</v>
      </c>
      <c r="F249" s="4">
        <v>0</v>
      </c>
      <c r="G249" s="4">
        <v>158318</v>
      </c>
      <c r="H249" s="4">
        <v>0</v>
      </c>
      <c r="I249" s="4">
        <f t="shared" si="3"/>
        <v>6895181</v>
      </c>
    </row>
    <row r="250" spans="1:9" x14ac:dyDescent="0.3">
      <c r="A250" s="4">
        <v>2023</v>
      </c>
      <c r="B250" s="4" t="s">
        <v>79</v>
      </c>
      <c r="C250" s="4" t="s">
        <v>89</v>
      </c>
      <c r="D250" s="4">
        <v>67834325</v>
      </c>
      <c r="E250" s="4">
        <v>0</v>
      </c>
      <c r="F250" s="4">
        <v>6873266</v>
      </c>
      <c r="G250" s="4">
        <v>0</v>
      </c>
      <c r="H250" s="4">
        <v>0</v>
      </c>
      <c r="I250" s="4">
        <f t="shared" si="3"/>
        <v>60961059</v>
      </c>
    </row>
    <row r="251" spans="1:9" x14ac:dyDescent="0.3">
      <c r="A251" s="4">
        <v>2023</v>
      </c>
      <c r="B251" s="4" t="s">
        <v>79</v>
      </c>
      <c r="C251" s="4" t="s">
        <v>90</v>
      </c>
      <c r="D251" s="4">
        <v>747363</v>
      </c>
      <c r="E251" s="4">
        <v>0</v>
      </c>
      <c r="F251" s="4">
        <v>0</v>
      </c>
      <c r="G251" s="4">
        <v>332296</v>
      </c>
      <c r="H251" s="4">
        <v>0</v>
      </c>
      <c r="I251" s="4">
        <f t="shared" si="3"/>
        <v>415067</v>
      </c>
    </row>
    <row r="252" spans="1:9" x14ac:dyDescent="0.3">
      <c r="A252" s="4">
        <v>2023</v>
      </c>
      <c r="B252" s="4" t="s">
        <v>79</v>
      </c>
      <c r="C252" s="4" t="s">
        <v>91</v>
      </c>
      <c r="D252" s="4">
        <v>12851140</v>
      </c>
      <c r="E252" s="4">
        <v>0</v>
      </c>
      <c r="F252" s="4">
        <v>0</v>
      </c>
      <c r="G252" s="4">
        <v>0</v>
      </c>
      <c r="H252" s="4">
        <v>0</v>
      </c>
      <c r="I252" s="4">
        <f t="shared" si="3"/>
        <v>12851140</v>
      </c>
    </row>
    <row r="253" spans="1:9" x14ac:dyDescent="0.3">
      <c r="A253" s="4">
        <v>2023</v>
      </c>
      <c r="B253" s="4" t="s">
        <v>79</v>
      </c>
      <c r="C253" s="4" t="s">
        <v>92</v>
      </c>
      <c r="D253" s="4">
        <v>200000</v>
      </c>
      <c r="E253" s="4">
        <v>0</v>
      </c>
      <c r="F253" s="4">
        <v>0</v>
      </c>
      <c r="G253" s="4">
        <v>0</v>
      </c>
      <c r="H253" s="4">
        <v>0</v>
      </c>
      <c r="I253" s="4">
        <f t="shared" si="3"/>
        <v>200000</v>
      </c>
    </row>
    <row r="254" spans="1:9" x14ac:dyDescent="0.3">
      <c r="A254" s="4">
        <v>2023</v>
      </c>
      <c r="B254" s="4" t="s">
        <v>79</v>
      </c>
      <c r="C254" s="4" t="s">
        <v>93</v>
      </c>
      <c r="D254" s="4">
        <v>110984</v>
      </c>
      <c r="E254" s="4">
        <v>0</v>
      </c>
      <c r="F254" s="4">
        <v>0</v>
      </c>
      <c r="G254" s="4">
        <v>110984</v>
      </c>
      <c r="H254" s="4">
        <v>0</v>
      </c>
      <c r="I254" s="4">
        <f t="shared" si="3"/>
        <v>0</v>
      </c>
    </row>
    <row r="255" spans="1:9" x14ac:dyDescent="0.3">
      <c r="A255" s="4">
        <v>2023</v>
      </c>
      <c r="B255" s="4" t="s">
        <v>79</v>
      </c>
      <c r="C255" s="4" t="s">
        <v>94</v>
      </c>
      <c r="D255" s="4">
        <v>4582629</v>
      </c>
      <c r="E255" s="4">
        <v>0</v>
      </c>
      <c r="F255" s="4">
        <v>0</v>
      </c>
      <c r="G255" s="4">
        <v>0</v>
      </c>
      <c r="H255" s="4">
        <v>0</v>
      </c>
      <c r="I255" s="4">
        <f t="shared" si="3"/>
        <v>4582629</v>
      </c>
    </row>
    <row r="256" spans="1:9" x14ac:dyDescent="0.3">
      <c r="A256" s="4">
        <v>2023</v>
      </c>
      <c r="B256" s="4" t="s">
        <v>79</v>
      </c>
      <c r="C256" s="4" t="s">
        <v>95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f t="shared" si="3"/>
        <v>0</v>
      </c>
    </row>
    <row r="257" spans="1:9" x14ac:dyDescent="0.3">
      <c r="A257" s="4">
        <v>2023</v>
      </c>
      <c r="B257" s="4" t="s">
        <v>79</v>
      </c>
      <c r="C257" s="4" t="s">
        <v>96</v>
      </c>
      <c r="D257" s="4">
        <v>5478174</v>
      </c>
      <c r="E257" s="4">
        <v>0</v>
      </c>
      <c r="F257" s="4">
        <v>0</v>
      </c>
      <c r="G257" s="4">
        <v>167110</v>
      </c>
      <c r="H257" s="4">
        <v>0</v>
      </c>
      <c r="I257" s="4">
        <f t="shared" si="3"/>
        <v>5311064</v>
      </c>
    </row>
    <row r="258" spans="1:9" x14ac:dyDescent="0.3">
      <c r="A258" s="4">
        <v>2023</v>
      </c>
      <c r="B258" s="4" t="s">
        <v>79</v>
      </c>
      <c r="C258" s="4" t="s">
        <v>97</v>
      </c>
      <c r="D258" s="4">
        <v>153417086</v>
      </c>
      <c r="E258" s="4">
        <v>0</v>
      </c>
      <c r="F258" s="4">
        <v>0</v>
      </c>
      <c r="G258" s="4">
        <v>0</v>
      </c>
      <c r="H258" s="4">
        <v>0</v>
      </c>
      <c r="I258" s="4">
        <f t="shared" si="3"/>
        <v>153417086</v>
      </c>
    </row>
    <row r="259" spans="1:9" x14ac:dyDescent="0.3">
      <c r="A259" s="4">
        <v>2023</v>
      </c>
      <c r="B259" s="4" t="s">
        <v>98</v>
      </c>
      <c r="C259" s="4" t="s">
        <v>99</v>
      </c>
      <c r="D259" s="4"/>
      <c r="E259" s="4"/>
      <c r="F259" s="4"/>
      <c r="G259" s="4"/>
      <c r="H259" s="4"/>
      <c r="I259" s="4"/>
    </row>
    <row r="260" spans="1:9" x14ac:dyDescent="0.3">
      <c r="A260" s="4">
        <v>2023</v>
      </c>
      <c r="B260" s="4" t="s">
        <v>98</v>
      </c>
      <c r="C260" s="4" t="s">
        <v>100</v>
      </c>
      <c r="D260" s="4"/>
      <c r="E260" s="4"/>
      <c r="F260" s="4"/>
      <c r="G260" s="4"/>
      <c r="H260" s="4"/>
      <c r="I260" s="4"/>
    </row>
    <row r="261" spans="1:9" x14ac:dyDescent="0.3">
      <c r="A261" s="4">
        <v>2023</v>
      </c>
      <c r="B261" s="4" t="s">
        <v>98</v>
      </c>
      <c r="C261" s="4" t="s">
        <v>101</v>
      </c>
      <c r="D261" s="4"/>
      <c r="E261" s="4"/>
      <c r="F261" s="4"/>
      <c r="G261" s="4"/>
      <c r="H261" s="4"/>
      <c r="I261" s="4"/>
    </row>
    <row r="262" spans="1:9" x14ac:dyDescent="0.3">
      <c r="A262" s="4">
        <v>2023</v>
      </c>
      <c r="B262" s="4" t="s">
        <v>98</v>
      </c>
      <c r="C262" s="4" t="s">
        <v>102</v>
      </c>
      <c r="D262" s="4"/>
      <c r="E262" s="4"/>
      <c r="F262" s="4"/>
      <c r="G262" s="4"/>
      <c r="H262" s="4"/>
      <c r="I262" s="4"/>
    </row>
    <row r="263" spans="1:9" x14ac:dyDescent="0.3">
      <c r="A263" s="4">
        <v>2023</v>
      </c>
      <c r="B263" s="4" t="s">
        <v>103</v>
      </c>
      <c r="C263" s="4" t="s">
        <v>104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f t="shared" ref="I263:I324" si="4">D263-SUM(E263:H263)</f>
        <v>0</v>
      </c>
    </row>
    <row r="264" spans="1:9" x14ac:dyDescent="0.3">
      <c r="A264" s="4">
        <v>2023</v>
      </c>
      <c r="B264" s="4" t="s">
        <v>103</v>
      </c>
      <c r="C264" s="4" t="s">
        <v>105</v>
      </c>
      <c r="D264" s="4">
        <v>1295700</v>
      </c>
      <c r="E264" s="4">
        <v>0</v>
      </c>
      <c r="F264" s="4">
        <v>0</v>
      </c>
      <c r="G264" s="4">
        <v>1266533</v>
      </c>
      <c r="H264" s="4">
        <v>0</v>
      </c>
      <c r="I264" s="4">
        <f t="shared" si="4"/>
        <v>29167</v>
      </c>
    </row>
    <row r="265" spans="1:9" x14ac:dyDescent="0.3">
      <c r="A265" s="4">
        <v>2023</v>
      </c>
      <c r="B265" s="4" t="s">
        <v>103</v>
      </c>
      <c r="C265" s="4" t="s">
        <v>106</v>
      </c>
      <c r="D265" s="4">
        <v>20106945</v>
      </c>
      <c r="E265" s="4">
        <v>0</v>
      </c>
      <c r="F265" s="4">
        <v>0</v>
      </c>
      <c r="G265" s="4">
        <v>10041163</v>
      </c>
      <c r="H265" s="4">
        <v>0</v>
      </c>
      <c r="I265" s="4">
        <f t="shared" si="4"/>
        <v>10065782</v>
      </c>
    </row>
    <row r="266" spans="1:9" x14ac:dyDescent="0.3">
      <c r="A266" s="4">
        <v>2023</v>
      </c>
      <c r="B266" s="4" t="s">
        <v>103</v>
      </c>
      <c r="C266" s="4" t="s">
        <v>107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f t="shared" si="4"/>
        <v>0</v>
      </c>
    </row>
    <row r="267" spans="1:9" x14ac:dyDescent="0.3">
      <c r="A267" s="4">
        <v>2023</v>
      </c>
      <c r="B267" s="4" t="s">
        <v>103</v>
      </c>
      <c r="C267" s="4" t="s">
        <v>108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f t="shared" si="4"/>
        <v>0</v>
      </c>
    </row>
    <row r="268" spans="1:9" x14ac:dyDescent="0.3">
      <c r="A268" s="4">
        <v>2023</v>
      </c>
      <c r="B268" s="4" t="s">
        <v>103</v>
      </c>
      <c r="C268" s="4" t="s">
        <v>109</v>
      </c>
      <c r="D268" s="4">
        <v>27153741</v>
      </c>
      <c r="E268" s="4">
        <v>0</v>
      </c>
      <c r="F268" s="4">
        <v>0</v>
      </c>
      <c r="G268" s="4">
        <v>0</v>
      </c>
      <c r="H268" s="4">
        <v>0</v>
      </c>
      <c r="I268" s="4">
        <f t="shared" si="4"/>
        <v>27153741</v>
      </c>
    </row>
    <row r="269" spans="1:9" x14ac:dyDescent="0.3">
      <c r="A269" s="4">
        <v>2023</v>
      </c>
      <c r="B269" s="4" t="s">
        <v>103</v>
      </c>
      <c r="C269" s="4" t="s">
        <v>110</v>
      </c>
      <c r="D269" s="4">
        <v>416078492</v>
      </c>
      <c r="E269" s="4">
        <v>0</v>
      </c>
      <c r="F269" s="4">
        <v>0</v>
      </c>
      <c r="G269" s="4">
        <v>5525432</v>
      </c>
      <c r="H269" s="4">
        <v>390722198</v>
      </c>
      <c r="I269" s="4">
        <f t="shared" si="4"/>
        <v>19830862</v>
      </c>
    </row>
    <row r="270" spans="1:9" x14ac:dyDescent="0.3">
      <c r="A270" s="4">
        <v>2023</v>
      </c>
      <c r="B270" s="4" t="s">
        <v>103</v>
      </c>
      <c r="C270" s="4" t="s">
        <v>111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f t="shared" si="4"/>
        <v>0</v>
      </c>
    </row>
    <row r="271" spans="1:9" x14ac:dyDescent="0.3">
      <c r="A271" s="5">
        <v>2022</v>
      </c>
      <c r="B271" s="5" t="s">
        <v>14</v>
      </c>
      <c r="C271" s="5" t="s">
        <v>15</v>
      </c>
      <c r="D271" s="5">
        <v>0</v>
      </c>
      <c r="E271" s="5" t="s">
        <v>112</v>
      </c>
      <c r="F271" s="5">
        <v>0</v>
      </c>
      <c r="G271" s="5">
        <v>0</v>
      </c>
      <c r="H271" s="5">
        <v>0</v>
      </c>
      <c r="I271" s="5">
        <f t="shared" si="4"/>
        <v>0</v>
      </c>
    </row>
    <row r="272" spans="1:9" x14ac:dyDescent="0.3">
      <c r="A272" s="5">
        <v>2022</v>
      </c>
      <c r="B272" s="5" t="s">
        <v>14</v>
      </c>
      <c r="C272" s="5" t="s">
        <v>16</v>
      </c>
      <c r="D272" s="5">
        <v>0</v>
      </c>
      <c r="E272" s="5" t="s">
        <v>112</v>
      </c>
      <c r="F272" s="5">
        <v>0</v>
      </c>
      <c r="G272" s="5">
        <v>0</v>
      </c>
      <c r="H272" s="5">
        <v>0</v>
      </c>
      <c r="I272" s="5">
        <f t="shared" si="4"/>
        <v>0</v>
      </c>
    </row>
    <row r="273" spans="1:9" x14ac:dyDescent="0.3">
      <c r="A273" s="5">
        <v>2022</v>
      </c>
      <c r="B273" s="5" t="s">
        <v>14</v>
      </c>
      <c r="C273" s="5" t="s">
        <v>17</v>
      </c>
      <c r="D273" s="5">
        <v>6532</v>
      </c>
      <c r="E273" s="5" t="s">
        <v>112</v>
      </c>
      <c r="F273" s="5">
        <v>6532</v>
      </c>
      <c r="G273" s="5">
        <v>0</v>
      </c>
      <c r="H273" s="5">
        <v>0</v>
      </c>
      <c r="I273" s="5">
        <f t="shared" si="4"/>
        <v>0</v>
      </c>
    </row>
    <row r="274" spans="1:9" x14ac:dyDescent="0.3">
      <c r="A274" s="5">
        <v>2022</v>
      </c>
      <c r="B274" s="5" t="s">
        <v>14</v>
      </c>
      <c r="C274" s="5" t="s">
        <v>18</v>
      </c>
      <c r="D274" s="5">
        <v>0</v>
      </c>
      <c r="E274" s="5" t="s">
        <v>112</v>
      </c>
      <c r="F274" s="5">
        <v>0</v>
      </c>
      <c r="G274" s="5">
        <v>0</v>
      </c>
      <c r="H274" s="5">
        <v>0</v>
      </c>
      <c r="I274" s="5">
        <f t="shared" si="4"/>
        <v>0</v>
      </c>
    </row>
    <row r="275" spans="1:9" x14ac:dyDescent="0.3">
      <c r="A275" s="5">
        <v>2022</v>
      </c>
      <c r="B275" s="5" t="s">
        <v>14</v>
      </c>
      <c r="C275" s="5" t="s">
        <v>19</v>
      </c>
      <c r="D275" s="5">
        <v>0</v>
      </c>
      <c r="E275" s="5" t="s">
        <v>112</v>
      </c>
      <c r="F275" s="5">
        <v>0</v>
      </c>
      <c r="G275" s="5">
        <v>0</v>
      </c>
      <c r="H275" s="5">
        <v>0</v>
      </c>
      <c r="I275" s="5">
        <f t="shared" si="4"/>
        <v>0</v>
      </c>
    </row>
    <row r="276" spans="1:9" x14ac:dyDescent="0.3">
      <c r="A276" s="5">
        <v>2022</v>
      </c>
      <c r="B276" s="5" t="s">
        <v>14</v>
      </c>
      <c r="C276" s="5" t="s">
        <v>20</v>
      </c>
      <c r="D276" s="5">
        <v>0</v>
      </c>
      <c r="E276" s="5" t="s">
        <v>112</v>
      </c>
      <c r="F276" s="5">
        <v>0</v>
      </c>
      <c r="G276" s="5">
        <v>0</v>
      </c>
      <c r="H276" s="5">
        <v>0</v>
      </c>
      <c r="I276" s="5">
        <f t="shared" si="4"/>
        <v>0</v>
      </c>
    </row>
    <row r="277" spans="1:9" x14ac:dyDescent="0.3">
      <c r="A277" s="5">
        <v>2022</v>
      </c>
      <c r="B277" s="5" t="s">
        <v>14</v>
      </c>
      <c r="C277" s="5" t="s">
        <v>21</v>
      </c>
      <c r="D277" s="5">
        <v>33165</v>
      </c>
      <c r="E277" s="5" t="s">
        <v>112</v>
      </c>
      <c r="F277" s="5">
        <v>33165</v>
      </c>
      <c r="G277" s="5">
        <v>0</v>
      </c>
      <c r="H277" s="5">
        <v>0</v>
      </c>
      <c r="I277" s="5">
        <f t="shared" si="4"/>
        <v>0</v>
      </c>
    </row>
    <row r="278" spans="1:9" x14ac:dyDescent="0.3">
      <c r="A278" s="5">
        <v>2022</v>
      </c>
      <c r="B278" s="5" t="s">
        <v>14</v>
      </c>
      <c r="C278" s="5" t="s">
        <v>22</v>
      </c>
      <c r="D278" s="5">
        <v>1600749</v>
      </c>
      <c r="E278" s="5">
        <v>1600749</v>
      </c>
      <c r="F278" s="5">
        <v>0</v>
      </c>
      <c r="G278" s="5">
        <v>0</v>
      </c>
      <c r="H278" s="5">
        <v>0</v>
      </c>
      <c r="I278" s="5">
        <f t="shared" si="4"/>
        <v>0</v>
      </c>
    </row>
    <row r="279" spans="1:9" x14ac:dyDescent="0.3">
      <c r="A279" s="5">
        <v>2022</v>
      </c>
      <c r="B279" s="5" t="s">
        <v>14</v>
      </c>
      <c r="C279" s="5" t="s">
        <v>23</v>
      </c>
      <c r="D279" s="5">
        <v>0</v>
      </c>
      <c r="E279" s="5" t="s">
        <v>112</v>
      </c>
      <c r="F279" s="5">
        <v>0</v>
      </c>
      <c r="G279" s="5">
        <v>0</v>
      </c>
      <c r="H279" s="5">
        <v>0</v>
      </c>
      <c r="I279" s="5">
        <f t="shared" si="4"/>
        <v>0</v>
      </c>
    </row>
    <row r="280" spans="1:9" x14ac:dyDescent="0.3">
      <c r="A280" s="5">
        <v>2022</v>
      </c>
      <c r="B280" s="5" t="s">
        <v>14</v>
      </c>
      <c r="C280" s="5" t="s">
        <v>24</v>
      </c>
      <c r="D280" s="5">
        <v>0</v>
      </c>
      <c r="E280" s="5" t="s">
        <v>112</v>
      </c>
      <c r="F280" s="5">
        <v>0</v>
      </c>
      <c r="G280" s="5">
        <v>0</v>
      </c>
      <c r="H280" s="5">
        <v>0</v>
      </c>
      <c r="I280" s="5">
        <f t="shared" si="4"/>
        <v>0</v>
      </c>
    </row>
    <row r="281" spans="1:9" x14ac:dyDescent="0.3">
      <c r="A281" s="5">
        <v>2022</v>
      </c>
      <c r="B281" s="5" t="s">
        <v>14</v>
      </c>
      <c r="C281" s="5" t="s">
        <v>25</v>
      </c>
      <c r="D281" s="5">
        <v>0</v>
      </c>
      <c r="E281" s="5" t="s">
        <v>112</v>
      </c>
      <c r="F281" s="5">
        <v>0</v>
      </c>
      <c r="G281" s="5">
        <v>0</v>
      </c>
      <c r="H281" s="5">
        <v>0</v>
      </c>
      <c r="I281" s="5">
        <f t="shared" si="4"/>
        <v>0</v>
      </c>
    </row>
    <row r="282" spans="1:9" x14ac:dyDescent="0.3">
      <c r="A282" s="5">
        <v>2022</v>
      </c>
      <c r="B282" s="5" t="s">
        <v>26</v>
      </c>
      <c r="C282" s="5" t="s">
        <v>27</v>
      </c>
      <c r="D282" s="5">
        <v>44328689</v>
      </c>
      <c r="E282" s="5" t="s">
        <v>112</v>
      </c>
      <c r="F282" s="5">
        <v>0</v>
      </c>
      <c r="G282" s="5">
        <v>0</v>
      </c>
      <c r="H282" s="5">
        <v>0</v>
      </c>
      <c r="I282" s="5">
        <f t="shared" si="4"/>
        <v>44328689</v>
      </c>
    </row>
    <row r="283" spans="1:9" x14ac:dyDescent="0.3">
      <c r="A283" s="5">
        <v>2022</v>
      </c>
      <c r="B283" s="5" t="s">
        <v>26</v>
      </c>
      <c r="C283" s="5" t="s">
        <v>28</v>
      </c>
      <c r="D283" s="5">
        <v>43952612</v>
      </c>
      <c r="E283" s="5" t="s">
        <v>112</v>
      </c>
      <c r="F283" s="5">
        <v>0</v>
      </c>
      <c r="G283" s="5">
        <v>0</v>
      </c>
      <c r="H283" s="5">
        <v>0</v>
      </c>
      <c r="I283" s="5">
        <f t="shared" si="4"/>
        <v>43952612</v>
      </c>
    </row>
    <row r="284" spans="1:9" x14ac:dyDescent="0.3">
      <c r="A284" s="5">
        <v>2022</v>
      </c>
      <c r="B284" s="5" t="s">
        <v>26</v>
      </c>
      <c r="C284" s="5" t="s">
        <v>29</v>
      </c>
      <c r="D284" s="5">
        <v>843226</v>
      </c>
      <c r="E284" s="5" t="s">
        <v>112</v>
      </c>
      <c r="F284" s="5">
        <v>0</v>
      </c>
      <c r="G284" s="5">
        <v>0</v>
      </c>
      <c r="H284" s="5">
        <v>842426</v>
      </c>
      <c r="I284" s="5">
        <f t="shared" si="4"/>
        <v>800</v>
      </c>
    </row>
    <row r="285" spans="1:9" x14ac:dyDescent="0.3">
      <c r="A285" s="5">
        <v>2022</v>
      </c>
      <c r="B285" s="5" t="s">
        <v>26</v>
      </c>
      <c r="C285" s="5" t="s">
        <v>30</v>
      </c>
      <c r="D285" s="5">
        <v>15162295</v>
      </c>
      <c r="E285" s="5" t="s">
        <v>112</v>
      </c>
      <c r="F285" s="5">
        <v>0</v>
      </c>
      <c r="G285" s="5">
        <v>631795</v>
      </c>
      <c r="H285" s="5">
        <v>14530500</v>
      </c>
      <c r="I285" s="5">
        <f t="shared" si="4"/>
        <v>0</v>
      </c>
    </row>
    <row r="286" spans="1:9" x14ac:dyDescent="0.3">
      <c r="A286" s="5">
        <v>2022</v>
      </c>
      <c r="B286" s="5" t="s">
        <v>26</v>
      </c>
      <c r="C286" s="5" t="s">
        <v>31</v>
      </c>
      <c r="D286" s="5">
        <v>43980190</v>
      </c>
      <c r="E286" s="5" t="s">
        <v>112</v>
      </c>
      <c r="F286" s="5">
        <v>0</v>
      </c>
      <c r="G286" s="5">
        <v>0</v>
      </c>
      <c r="H286" s="5">
        <v>0</v>
      </c>
      <c r="I286" s="5">
        <f t="shared" si="4"/>
        <v>43980190</v>
      </c>
    </row>
    <row r="287" spans="1:9" x14ac:dyDescent="0.3">
      <c r="A287" s="5">
        <v>2022</v>
      </c>
      <c r="B287" s="5" t="s">
        <v>26</v>
      </c>
      <c r="C287" s="5" t="s">
        <v>32</v>
      </c>
      <c r="D287" s="5">
        <v>25108344</v>
      </c>
      <c r="E287" s="5" t="s">
        <v>112</v>
      </c>
      <c r="F287" s="5">
        <v>0</v>
      </c>
      <c r="G287" s="5">
        <v>941029</v>
      </c>
      <c r="H287" s="5">
        <v>0</v>
      </c>
      <c r="I287" s="5">
        <f t="shared" si="4"/>
        <v>24167315</v>
      </c>
    </row>
    <row r="288" spans="1:9" x14ac:dyDescent="0.3">
      <c r="A288" s="5">
        <v>2022</v>
      </c>
      <c r="B288" s="5" t="s">
        <v>26</v>
      </c>
      <c r="C288" s="5" t="s">
        <v>33</v>
      </c>
      <c r="D288" s="5">
        <v>1222847</v>
      </c>
      <c r="E288" s="5" t="s">
        <v>112</v>
      </c>
      <c r="F288" s="5">
        <v>0</v>
      </c>
      <c r="G288" s="5">
        <v>355106</v>
      </c>
      <c r="H288" s="5">
        <v>0</v>
      </c>
      <c r="I288" s="5">
        <f t="shared" si="4"/>
        <v>867741</v>
      </c>
    </row>
    <row r="289" spans="1:9" x14ac:dyDescent="0.3">
      <c r="A289" s="5">
        <v>2022</v>
      </c>
      <c r="B289" s="5" t="s">
        <v>26</v>
      </c>
      <c r="C289" s="5" t="s">
        <v>34</v>
      </c>
      <c r="D289" s="5">
        <v>217700</v>
      </c>
      <c r="E289" s="5" t="s">
        <v>112</v>
      </c>
      <c r="F289" s="5">
        <v>0</v>
      </c>
      <c r="G289" s="5">
        <v>0</v>
      </c>
      <c r="H289" s="5">
        <v>0</v>
      </c>
      <c r="I289" s="5">
        <f t="shared" si="4"/>
        <v>217700</v>
      </c>
    </row>
    <row r="290" spans="1:9" x14ac:dyDescent="0.3">
      <c r="A290" s="5">
        <v>2022</v>
      </c>
      <c r="B290" s="5" t="s">
        <v>26</v>
      </c>
      <c r="C290" s="5" t="s">
        <v>35</v>
      </c>
      <c r="D290" s="5">
        <v>21800</v>
      </c>
      <c r="E290" s="5" t="s">
        <v>112</v>
      </c>
      <c r="F290" s="5">
        <v>0</v>
      </c>
      <c r="G290" s="5">
        <v>0</v>
      </c>
      <c r="H290" s="5">
        <v>0</v>
      </c>
      <c r="I290" s="5">
        <f t="shared" si="4"/>
        <v>21800</v>
      </c>
    </row>
    <row r="291" spans="1:9" x14ac:dyDescent="0.3">
      <c r="A291" s="5">
        <v>2022</v>
      </c>
      <c r="B291" s="5" t="s">
        <v>26</v>
      </c>
      <c r="C291" s="5" t="s">
        <v>36</v>
      </c>
      <c r="D291" s="5">
        <v>26040381</v>
      </c>
      <c r="E291" s="5" t="s">
        <v>112</v>
      </c>
      <c r="F291" s="5">
        <v>0</v>
      </c>
      <c r="G291" s="5">
        <v>5368473</v>
      </c>
      <c r="H291" s="5">
        <v>0</v>
      </c>
      <c r="I291" s="5">
        <f t="shared" si="4"/>
        <v>20671908</v>
      </c>
    </row>
    <row r="292" spans="1:9" x14ac:dyDescent="0.3">
      <c r="A292" s="5">
        <v>2022</v>
      </c>
      <c r="B292" s="5" t="s">
        <v>26</v>
      </c>
      <c r="C292" s="5" t="s">
        <v>37</v>
      </c>
      <c r="D292" s="5">
        <v>1596189</v>
      </c>
      <c r="E292" s="5" t="s">
        <v>112</v>
      </c>
      <c r="F292" s="5">
        <v>0</v>
      </c>
      <c r="G292" s="5">
        <v>0</v>
      </c>
      <c r="H292" s="5">
        <v>0</v>
      </c>
      <c r="I292" s="5">
        <f t="shared" si="4"/>
        <v>1596189</v>
      </c>
    </row>
    <row r="293" spans="1:9" x14ac:dyDescent="0.3">
      <c r="A293" s="5">
        <v>2022</v>
      </c>
      <c r="B293" s="5" t="s">
        <v>26</v>
      </c>
      <c r="C293" s="5" t="s">
        <v>38</v>
      </c>
      <c r="D293" s="5">
        <v>9878347</v>
      </c>
      <c r="E293" s="5" t="s">
        <v>112</v>
      </c>
      <c r="F293" s="5">
        <v>0</v>
      </c>
      <c r="G293" s="5">
        <v>0</v>
      </c>
      <c r="H293" s="5">
        <v>0</v>
      </c>
      <c r="I293" s="5">
        <f t="shared" si="4"/>
        <v>9878347</v>
      </c>
    </row>
    <row r="294" spans="1:9" x14ac:dyDescent="0.3">
      <c r="A294" s="5">
        <v>2022</v>
      </c>
      <c r="B294" s="5" t="s">
        <v>26</v>
      </c>
      <c r="C294" s="5" t="s">
        <v>39</v>
      </c>
      <c r="D294" s="5">
        <v>0</v>
      </c>
      <c r="E294" s="5" t="s">
        <v>112</v>
      </c>
      <c r="F294" s="5">
        <v>0</v>
      </c>
      <c r="G294" s="5">
        <v>0</v>
      </c>
      <c r="H294" s="5">
        <v>0</v>
      </c>
      <c r="I294" s="5">
        <f t="shared" si="4"/>
        <v>0</v>
      </c>
    </row>
    <row r="295" spans="1:9" x14ac:dyDescent="0.3">
      <c r="A295" s="5">
        <v>2022</v>
      </c>
      <c r="B295" s="5" t="s">
        <v>26</v>
      </c>
      <c r="C295" s="5" t="s">
        <v>40</v>
      </c>
      <c r="D295" s="5">
        <v>6067752</v>
      </c>
      <c r="E295" s="5" t="s">
        <v>112</v>
      </c>
      <c r="F295" s="5">
        <v>0</v>
      </c>
      <c r="G295" s="5">
        <v>0</v>
      </c>
      <c r="H295" s="5">
        <v>0</v>
      </c>
      <c r="I295" s="5">
        <f t="shared" si="4"/>
        <v>6067752</v>
      </c>
    </row>
    <row r="296" spans="1:9" x14ac:dyDescent="0.3">
      <c r="A296" s="5">
        <v>2022</v>
      </c>
      <c r="B296" s="5" t="s">
        <v>41</v>
      </c>
      <c r="C296" s="5" t="s">
        <v>42</v>
      </c>
      <c r="D296" s="5">
        <v>12617157</v>
      </c>
      <c r="E296" s="5" t="s">
        <v>112</v>
      </c>
      <c r="F296" s="5">
        <v>0</v>
      </c>
      <c r="G296" s="5">
        <v>0</v>
      </c>
      <c r="H296" s="5">
        <v>0</v>
      </c>
      <c r="I296" s="5">
        <f t="shared" si="4"/>
        <v>12617157</v>
      </c>
    </row>
    <row r="297" spans="1:9" x14ac:dyDescent="0.3">
      <c r="A297" s="5">
        <v>2022</v>
      </c>
      <c r="B297" s="5" t="s">
        <v>41</v>
      </c>
      <c r="C297" s="5" t="s">
        <v>43</v>
      </c>
      <c r="D297" s="5">
        <v>26162553</v>
      </c>
      <c r="E297" s="5" t="s">
        <v>112</v>
      </c>
      <c r="F297" s="5">
        <v>26034578</v>
      </c>
      <c r="G297" s="5">
        <v>0</v>
      </c>
      <c r="H297" s="5">
        <v>0</v>
      </c>
      <c r="I297" s="5">
        <f t="shared" si="4"/>
        <v>127975</v>
      </c>
    </row>
    <row r="298" spans="1:9" x14ac:dyDescent="0.3">
      <c r="A298" s="5">
        <v>2022</v>
      </c>
      <c r="B298" s="5" t="s">
        <v>41</v>
      </c>
      <c r="C298" s="5" t="s">
        <v>44</v>
      </c>
      <c r="D298" s="5">
        <v>0</v>
      </c>
      <c r="E298" s="5" t="s">
        <v>112</v>
      </c>
      <c r="F298" s="5">
        <v>0</v>
      </c>
      <c r="G298" s="5">
        <v>0</v>
      </c>
      <c r="H298" s="5">
        <v>0</v>
      </c>
      <c r="I298" s="5">
        <f t="shared" si="4"/>
        <v>0</v>
      </c>
    </row>
    <row r="299" spans="1:9" x14ac:dyDescent="0.3">
      <c r="A299" s="5">
        <v>2022</v>
      </c>
      <c r="B299" s="5" t="s">
        <v>41</v>
      </c>
      <c r="C299" s="5" t="s">
        <v>45</v>
      </c>
      <c r="D299" s="5">
        <v>0</v>
      </c>
      <c r="E299" s="5" t="s">
        <v>112</v>
      </c>
      <c r="F299" s="5">
        <v>0</v>
      </c>
      <c r="G299" s="5">
        <v>0</v>
      </c>
      <c r="H299" s="5">
        <v>0</v>
      </c>
      <c r="I299" s="5">
        <f t="shared" si="4"/>
        <v>0</v>
      </c>
    </row>
    <row r="300" spans="1:9" x14ac:dyDescent="0.3">
      <c r="A300" s="5">
        <v>2022</v>
      </c>
      <c r="B300" s="5" t="s">
        <v>41</v>
      </c>
      <c r="C300" s="5" t="s">
        <v>46</v>
      </c>
      <c r="D300" s="5">
        <v>0</v>
      </c>
      <c r="E300" s="5" t="s">
        <v>112</v>
      </c>
      <c r="F300" s="5">
        <v>0</v>
      </c>
      <c r="G300" s="5">
        <v>0</v>
      </c>
      <c r="H300" s="5">
        <v>0</v>
      </c>
      <c r="I300" s="5">
        <f t="shared" si="4"/>
        <v>0</v>
      </c>
    </row>
    <row r="301" spans="1:9" x14ac:dyDescent="0.3">
      <c r="A301" s="5">
        <v>2022</v>
      </c>
      <c r="B301" s="5" t="s">
        <v>41</v>
      </c>
      <c r="C301" s="5" t="s">
        <v>47</v>
      </c>
      <c r="D301" s="5">
        <v>0</v>
      </c>
      <c r="E301" s="5" t="s">
        <v>112</v>
      </c>
      <c r="F301" s="5">
        <v>0</v>
      </c>
      <c r="G301" s="5">
        <v>0</v>
      </c>
      <c r="H301" s="5">
        <v>0</v>
      </c>
      <c r="I301" s="5">
        <f t="shared" si="4"/>
        <v>0</v>
      </c>
    </row>
    <row r="302" spans="1:9" x14ac:dyDescent="0.3">
      <c r="A302" s="5">
        <v>2022</v>
      </c>
      <c r="B302" s="5" t="s">
        <v>41</v>
      </c>
      <c r="C302" s="5" t="s">
        <v>48</v>
      </c>
      <c r="D302" s="5">
        <v>0</v>
      </c>
      <c r="E302" s="5" t="s">
        <v>112</v>
      </c>
      <c r="F302" s="5">
        <v>0</v>
      </c>
      <c r="G302" s="5">
        <v>0</v>
      </c>
      <c r="H302" s="5">
        <v>0</v>
      </c>
      <c r="I302" s="5">
        <f t="shared" si="4"/>
        <v>0</v>
      </c>
    </row>
    <row r="303" spans="1:9" x14ac:dyDescent="0.3">
      <c r="A303" s="5">
        <v>2022</v>
      </c>
      <c r="B303" s="5" t="s">
        <v>41</v>
      </c>
      <c r="C303" s="5" t="s">
        <v>49</v>
      </c>
      <c r="D303" s="5">
        <v>24112000</v>
      </c>
      <c r="E303" s="5" t="s">
        <v>112</v>
      </c>
      <c r="F303" s="5">
        <v>0</v>
      </c>
      <c r="G303" s="5">
        <v>0</v>
      </c>
      <c r="H303" s="5">
        <v>0</v>
      </c>
      <c r="I303" s="5">
        <f t="shared" si="4"/>
        <v>24112000</v>
      </c>
    </row>
    <row r="304" spans="1:9" x14ac:dyDescent="0.3">
      <c r="A304" s="5">
        <v>2022</v>
      </c>
      <c r="B304" s="5" t="s">
        <v>41</v>
      </c>
      <c r="C304" s="5" t="s">
        <v>50</v>
      </c>
      <c r="D304" s="5">
        <v>130748</v>
      </c>
      <c r="E304" s="5" t="s">
        <v>112</v>
      </c>
      <c r="F304" s="5">
        <v>0</v>
      </c>
      <c r="G304" s="5">
        <v>0</v>
      </c>
      <c r="H304" s="5">
        <v>0</v>
      </c>
      <c r="I304" s="5">
        <f t="shared" si="4"/>
        <v>130748</v>
      </c>
    </row>
    <row r="305" spans="1:9" x14ac:dyDescent="0.3">
      <c r="A305" s="5">
        <v>2022</v>
      </c>
      <c r="B305" s="5" t="s">
        <v>41</v>
      </c>
      <c r="C305" s="5" t="s">
        <v>51</v>
      </c>
      <c r="D305" s="5">
        <v>0</v>
      </c>
      <c r="E305" s="5" t="s">
        <v>112</v>
      </c>
      <c r="F305" s="5">
        <v>0</v>
      </c>
      <c r="G305" s="5">
        <v>0</v>
      </c>
      <c r="H305" s="5">
        <v>0</v>
      </c>
      <c r="I305" s="5">
        <f t="shared" si="4"/>
        <v>0</v>
      </c>
    </row>
    <row r="306" spans="1:9" x14ac:dyDescent="0.3">
      <c r="A306" s="5">
        <v>2022</v>
      </c>
      <c r="B306" s="5" t="s">
        <v>41</v>
      </c>
      <c r="C306" s="5" t="s">
        <v>52</v>
      </c>
      <c r="D306" s="5">
        <v>151563805</v>
      </c>
      <c r="E306" s="5" t="s">
        <v>112</v>
      </c>
      <c r="F306" s="5">
        <v>3804453</v>
      </c>
      <c r="G306" s="5">
        <v>0</v>
      </c>
      <c r="H306" s="5">
        <v>0</v>
      </c>
      <c r="I306" s="5">
        <f t="shared" si="4"/>
        <v>147759352</v>
      </c>
    </row>
    <row r="307" spans="1:9" x14ac:dyDescent="0.3">
      <c r="A307" s="5">
        <v>2022</v>
      </c>
      <c r="B307" s="5" t="s">
        <v>53</v>
      </c>
      <c r="C307" s="5" t="s">
        <v>54</v>
      </c>
      <c r="D307" s="5">
        <v>0</v>
      </c>
      <c r="E307" s="5" t="s">
        <v>112</v>
      </c>
      <c r="F307" s="5">
        <v>0</v>
      </c>
      <c r="G307" s="5">
        <v>0</v>
      </c>
      <c r="H307" s="5">
        <v>0</v>
      </c>
      <c r="I307" s="5">
        <f t="shared" si="4"/>
        <v>0</v>
      </c>
    </row>
    <row r="308" spans="1:9" x14ac:dyDescent="0.3">
      <c r="A308" s="5">
        <v>2022</v>
      </c>
      <c r="B308" s="5" t="s">
        <v>53</v>
      </c>
      <c r="C308" s="5" t="s">
        <v>55</v>
      </c>
      <c r="D308" s="5">
        <v>0</v>
      </c>
      <c r="E308" s="5" t="s">
        <v>112</v>
      </c>
      <c r="F308" s="5">
        <v>0</v>
      </c>
      <c r="G308" s="5">
        <v>0</v>
      </c>
      <c r="H308" s="5">
        <v>0</v>
      </c>
      <c r="I308" s="5">
        <f t="shared" si="4"/>
        <v>0</v>
      </c>
    </row>
    <row r="309" spans="1:9" x14ac:dyDescent="0.3">
      <c r="A309" s="5">
        <v>2022</v>
      </c>
      <c r="B309" s="5" t="s">
        <v>53</v>
      </c>
      <c r="C309" s="5" t="s">
        <v>56</v>
      </c>
      <c r="D309" s="5">
        <v>0</v>
      </c>
      <c r="E309" s="5" t="s">
        <v>112</v>
      </c>
      <c r="F309" s="5">
        <v>0</v>
      </c>
      <c r="G309" s="5">
        <v>0</v>
      </c>
      <c r="H309" s="5">
        <v>0</v>
      </c>
      <c r="I309" s="5">
        <f t="shared" si="4"/>
        <v>0</v>
      </c>
    </row>
    <row r="310" spans="1:9" x14ac:dyDescent="0.3">
      <c r="A310" s="5">
        <v>2022</v>
      </c>
      <c r="B310" s="5" t="s">
        <v>53</v>
      </c>
      <c r="C310" s="5" t="s">
        <v>57</v>
      </c>
      <c r="D310" s="5">
        <v>0</v>
      </c>
      <c r="E310" s="5" t="s">
        <v>112</v>
      </c>
      <c r="F310" s="5">
        <v>0</v>
      </c>
      <c r="G310" s="5">
        <v>0</v>
      </c>
      <c r="H310" s="5">
        <v>0</v>
      </c>
      <c r="I310" s="5">
        <f t="shared" si="4"/>
        <v>0</v>
      </c>
    </row>
    <row r="311" spans="1:9" x14ac:dyDescent="0.3">
      <c r="A311" s="5">
        <v>2022</v>
      </c>
      <c r="B311" s="5" t="s">
        <v>53</v>
      </c>
      <c r="C311" s="5" t="s">
        <v>58</v>
      </c>
      <c r="D311" s="5">
        <v>0</v>
      </c>
      <c r="E311" s="5" t="s">
        <v>112</v>
      </c>
      <c r="F311" s="5">
        <v>0</v>
      </c>
      <c r="G311" s="5">
        <v>0</v>
      </c>
      <c r="H311" s="5">
        <v>0</v>
      </c>
      <c r="I311" s="5">
        <f t="shared" si="4"/>
        <v>0</v>
      </c>
    </row>
    <row r="312" spans="1:9" x14ac:dyDescent="0.3">
      <c r="A312" s="5">
        <v>2022</v>
      </c>
      <c r="B312" s="5" t="s">
        <v>53</v>
      </c>
      <c r="C312" s="5" t="s">
        <v>59</v>
      </c>
      <c r="D312" s="5">
        <v>3386792</v>
      </c>
      <c r="E312" s="5" t="s">
        <v>112</v>
      </c>
      <c r="F312" s="5">
        <v>0</v>
      </c>
      <c r="G312" s="5">
        <v>1500681</v>
      </c>
      <c r="H312" s="5">
        <v>0</v>
      </c>
      <c r="I312" s="5">
        <f t="shared" si="4"/>
        <v>1886111</v>
      </c>
    </row>
    <row r="313" spans="1:9" x14ac:dyDescent="0.3">
      <c r="A313" s="5">
        <v>2022</v>
      </c>
      <c r="B313" s="5" t="s">
        <v>53</v>
      </c>
      <c r="C313" s="5" t="s">
        <v>60</v>
      </c>
      <c r="D313" s="5">
        <v>0</v>
      </c>
      <c r="E313" s="5" t="s">
        <v>112</v>
      </c>
      <c r="F313" s="5">
        <v>0</v>
      </c>
      <c r="G313" s="5">
        <v>0</v>
      </c>
      <c r="H313" s="5">
        <v>0</v>
      </c>
      <c r="I313" s="5">
        <f t="shared" si="4"/>
        <v>0</v>
      </c>
    </row>
    <row r="314" spans="1:9" x14ac:dyDescent="0.3">
      <c r="A314" s="5">
        <v>2022</v>
      </c>
      <c r="B314" s="5" t="s">
        <v>61</v>
      </c>
      <c r="C314" s="5" t="s">
        <v>62</v>
      </c>
      <c r="D314" s="5">
        <v>29277633</v>
      </c>
      <c r="E314" s="5" t="s">
        <v>112</v>
      </c>
      <c r="F314" s="5">
        <v>0</v>
      </c>
      <c r="G314" s="5">
        <v>5276649</v>
      </c>
      <c r="H314" s="5">
        <v>0</v>
      </c>
      <c r="I314" s="5">
        <f t="shared" si="4"/>
        <v>24000984</v>
      </c>
    </row>
    <row r="315" spans="1:9" x14ac:dyDescent="0.3">
      <c r="A315" s="5">
        <v>2022</v>
      </c>
      <c r="B315" s="5" t="s">
        <v>61</v>
      </c>
      <c r="C315" s="5" t="s">
        <v>63</v>
      </c>
      <c r="D315" s="5">
        <v>417304</v>
      </c>
      <c r="E315" s="5" t="s">
        <v>112</v>
      </c>
      <c r="F315" s="5">
        <v>114304</v>
      </c>
      <c r="G315" s="5">
        <v>0</v>
      </c>
      <c r="H315" s="5">
        <v>0</v>
      </c>
      <c r="I315" s="5">
        <f t="shared" si="4"/>
        <v>303000</v>
      </c>
    </row>
    <row r="316" spans="1:9" x14ac:dyDescent="0.3">
      <c r="A316" s="5">
        <v>2022</v>
      </c>
      <c r="B316" s="5" t="s">
        <v>61</v>
      </c>
      <c r="C316" s="5" t="s">
        <v>64</v>
      </c>
      <c r="D316" s="5">
        <v>29016885</v>
      </c>
      <c r="E316" s="5" t="s">
        <v>112</v>
      </c>
      <c r="F316" s="5">
        <v>0</v>
      </c>
      <c r="G316" s="5">
        <v>29016885</v>
      </c>
      <c r="H316" s="5">
        <v>0</v>
      </c>
      <c r="I316" s="5">
        <f t="shared" si="4"/>
        <v>0</v>
      </c>
    </row>
    <row r="317" spans="1:9" x14ac:dyDescent="0.3">
      <c r="A317" s="5">
        <v>2022</v>
      </c>
      <c r="B317" s="5" t="s">
        <v>61</v>
      </c>
      <c r="C317" s="5" t="s">
        <v>65</v>
      </c>
      <c r="D317" s="5">
        <v>0</v>
      </c>
      <c r="E317" s="5" t="s">
        <v>112</v>
      </c>
      <c r="F317" s="5">
        <v>0</v>
      </c>
      <c r="G317" s="5">
        <v>0</v>
      </c>
      <c r="H317" s="5">
        <v>0</v>
      </c>
      <c r="I317" s="5">
        <f t="shared" si="4"/>
        <v>0</v>
      </c>
    </row>
    <row r="318" spans="1:9" x14ac:dyDescent="0.3">
      <c r="A318" s="5">
        <v>2022</v>
      </c>
      <c r="B318" s="5" t="s">
        <v>61</v>
      </c>
      <c r="C318" s="5" t="s">
        <v>66</v>
      </c>
      <c r="D318" s="5">
        <v>93581098</v>
      </c>
      <c r="E318" s="5" t="s">
        <v>112</v>
      </c>
      <c r="F318" s="5">
        <v>0</v>
      </c>
      <c r="G318" s="5">
        <v>1919</v>
      </c>
      <c r="H318" s="5">
        <v>0</v>
      </c>
      <c r="I318" s="5">
        <f t="shared" si="4"/>
        <v>93579179</v>
      </c>
    </row>
    <row r="319" spans="1:9" x14ac:dyDescent="0.3">
      <c r="A319" s="5">
        <v>2022</v>
      </c>
      <c r="B319" s="5" t="s">
        <v>61</v>
      </c>
      <c r="C319" s="5" t="s">
        <v>67</v>
      </c>
      <c r="D319" s="5">
        <v>25123397</v>
      </c>
      <c r="E319" s="5" t="s">
        <v>112</v>
      </c>
      <c r="F319" s="5">
        <v>0</v>
      </c>
      <c r="G319" s="5">
        <v>282381</v>
      </c>
      <c r="H319" s="5">
        <v>0</v>
      </c>
      <c r="I319" s="5">
        <f t="shared" si="4"/>
        <v>24841016</v>
      </c>
    </row>
    <row r="320" spans="1:9" x14ac:dyDescent="0.3">
      <c r="A320" s="5">
        <v>2022</v>
      </c>
      <c r="B320" s="5" t="s">
        <v>61</v>
      </c>
      <c r="C320" s="5" t="s">
        <v>68</v>
      </c>
      <c r="D320" s="5">
        <v>0</v>
      </c>
      <c r="E320" s="5" t="s">
        <v>112</v>
      </c>
      <c r="F320" s="5">
        <v>0</v>
      </c>
      <c r="G320" s="5">
        <v>0</v>
      </c>
      <c r="H320" s="5">
        <v>0</v>
      </c>
      <c r="I320" s="5">
        <f t="shared" si="4"/>
        <v>0</v>
      </c>
    </row>
    <row r="321" spans="1:9" x14ac:dyDescent="0.3">
      <c r="A321" s="5">
        <v>2022</v>
      </c>
      <c r="B321" s="5" t="s">
        <v>61</v>
      </c>
      <c r="C321" s="5" t="s">
        <v>69</v>
      </c>
      <c r="D321" s="5">
        <v>0</v>
      </c>
      <c r="E321" s="5" t="s">
        <v>112</v>
      </c>
      <c r="F321" s="5">
        <v>0</v>
      </c>
      <c r="G321" s="5">
        <v>0</v>
      </c>
      <c r="H321" s="5">
        <v>0</v>
      </c>
      <c r="I321" s="5">
        <f t="shared" si="4"/>
        <v>0</v>
      </c>
    </row>
    <row r="322" spans="1:9" x14ac:dyDescent="0.3">
      <c r="A322" s="5">
        <v>2022</v>
      </c>
      <c r="B322" s="5" t="s">
        <v>61</v>
      </c>
      <c r="C322" s="5" t="s">
        <v>70</v>
      </c>
      <c r="D322" s="5">
        <v>329939</v>
      </c>
      <c r="E322" s="5" t="s">
        <v>112</v>
      </c>
      <c r="F322" s="5">
        <v>21884</v>
      </c>
      <c r="G322" s="5">
        <v>0</v>
      </c>
      <c r="H322" s="5">
        <v>0</v>
      </c>
      <c r="I322" s="5">
        <f t="shared" si="4"/>
        <v>308055</v>
      </c>
    </row>
    <row r="323" spans="1:9" x14ac:dyDescent="0.3">
      <c r="A323" s="5">
        <v>2022</v>
      </c>
      <c r="B323" s="5" t="s">
        <v>61</v>
      </c>
      <c r="C323" s="5" t="s">
        <v>71</v>
      </c>
      <c r="D323" s="5">
        <v>0</v>
      </c>
      <c r="E323" s="5" t="s">
        <v>112</v>
      </c>
      <c r="F323" s="5">
        <v>0</v>
      </c>
      <c r="G323" s="5">
        <v>0</v>
      </c>
      <c r="H323" s="5">
        <v>0</v>
      </c>
      <c r="I323" s="5">
        <f t="shared" si="4"/>
        <v>0</v>
      </c>
    </row>
    <row r="324" spans="1:9" x14ac:dyDescent="0.3">
      <c r="A324" s="5">
        <v>2022</v>
      </c>
      <c r="B324" s="5" t="s">
        <v>72</v>
      </c>
      <c r="C324" s="5" t="s">
        <v>73</v>
      </c>
      <c r="D324" s="5">
        <v>0</v>
      </c>
      <c r="E324" s="5" t="s">
        <v>112</v>
      </c>
      <c r="F324" s="5">
        <v>0</v>
      </c>
      <c r="G324" s="5">
        <v>0</v>
      </c>
      <c r="H324" s="5">
        <v>0</v>
      </c>
      <c r="I324" s="5">
        <f t="shared" si="4"/>
        <v>0</v>
      </c>
    </row>
    <row r="325" spans="1:9" x14ac:dyDescent="0.3">
      <c r="A325" s="5">
        <v>2022</v>
      </c>
      <c r="B325" s="5" t="s">
        <v>72</v>
      </c>
      <c r="C325" s="5" t="s">
        <v>74</v>
      </c>
      <c r="D325" s="5">
        <v>17070570</v>
      </c>
      <c r="E325" s="5" t="s">
        <v>112</v>
      </c>
      <c r="F325" s="5">
        <v>0</v>
      </c>
      <c r="G325" s="5">
        <v>2270908</v>
      </c>
      <c r="H325" s="5">
        <v>14799662</v>
      </c>
      <c r="I325" s="5">
        <f t="shared" ref="I325:I359" si="5">D325-SUM(E325:H325)</f>
        <v>0</v>
      </c>
    </row>
    <row r="326" spans="1:9" x14ac:dyDescent="0.3">
      <c r="A326" s="5">
        <v>2022</v>
      </c>
      <c r="B326" s="5" t="s">
        <v>72</v>
      </c>
      <c r="C326" s="5" t="s">
        <v>75</v>
      </c>
      <c r="D326" s="5">
        <v>15240</v>
      </c>
      <c r="E326" s="5" t="s">
        <v>112</v>
      </c>
      <c r="F326" s="5">
        <v>0</v>
      </c>
      <c r="G326" s="5">
        <v>0</v>
      </c>
      <c r="H326" s="5">
        <v>0</v>
      </c>
      <c r="I326" s="5">
        <f t="shared" si="5"/>
        <v>15240</v>
      </c>
    </row>
    <row r="327" spans="1:9" x14ac:dyDescent="0.3">
      <c r="A327" s="5">
        <v>2022</v>
      </c>
      <c r="B327" s="5" t="s">
        <v>72</v>
      </c>
      <c r="C327" s="5" t="s">
        <v>76</v>
      </c>
      <c r="D327" s="5">
        <v>0</v>
      </c>
      <c r="E327" s="5" t="s">
        <v>112</v>
      </c>
      <c r="F327" s="5">
        <v>0</v>
      </c>
      <c r="G327" s="5">
        <v>0</v>
      </c>
      <c r="H327" s="5">
        <v>0</v>
      </c>
      <c r="I327" s="5">
        <f t="shared" si="5"/>
        <v>0</v>
      </c>
    </row>
    <row r="328" spans="1:9" x14ac:dyDescent="0.3">
      <c r="A328" s="5">
        <v>2022</v>
      </c>
      <c r="B328" s="5" t="s">
        <v>72</v>
      </c>
      <c r="C328" s="5" t="s">
        <v>77</v>
      </c>
      <c r="D328" s="5">
        <v>4448200</v>
      </c>
      <c r="E328" s="5" t="s">
        <v>112</v>
      </c>
      <c r="F328" s="5">
        <v>3015056</v>
      </c>
      <c r="G328" s="5">
        <v>0</v>
      </c>
      <c r="H328" s="5">
        <v>0</v>
      </c>
      <c r="I328" s="5">
        <f t="shared" si="5"/>
        <v>1433144</v>
      </c>
    </row>
    <row r="329" spans="1:9" x14ac:dyDescent="0.3">
      <c r="A329" s="5">
        <v>2022</v>
      </c>
      <c r="B329" s="5" t="s">
        <v>72</v>
      </c>
      <c r="C329" s="5" t="s">
        <v>78</v>
      </c>
      <c r="D329" s="5">
        <v>0</v>
      </c>
      <c r="E329" s="5" t="s">
        <v>112</v>
      </c>
      <c r="F329" s="5">
        <v>0</v>
      </c>
      <c r="G329" s="5">
        <v>0</v>
      </c>
      <c r="H329" s="5">
        <v>0</v>
      </c>
      <c r="I329" s="5">
        <f t="shared" si="5"/>
        <v>0</v>
      </c>
    </row>
    <row r="330" spans="1:9" x14ac:dyDescent="0.3">
      <c r="A330" s="5">
        <v>2022</v>
      </c>
      <c r="B330" s="5" t="s">
        <v>79</v>
      </c>
      <c r="C330" s="5" t="s">
        <v>80</v>
      </c>
      <c r="D330" s="5">
        <v>9186574</v>
      </c>
      <c r="E330" s="5" t="s">
        <v>112</v>
      </c>
      <c r="F330" s="5">
        <v>0</v>
      </c>
      <c r="G330" s="5">
        <v>9186574</v>
      </c>
      <c r="H330" s="5">
        <v>0</v>
      </c>
      <c r="I330" s="5">
        <f t="shared" si="5"/>
        <v>0</v>
      </c>
    </row>
    <row r="331" spans="1:9" x14ac:dyDescent="0.3">
      <c r="A331" s="5">
        <v>2022</v>
      </c>
      <c r="B331" s="5" t="s">
        <v>79</v>
      </c>
      <c r="C331" s="5" t="s">
        <v>81</v>
      </c>
      <c r="D331" s="5">
        <v>1865201</v>
      </c>
      <c r="E331" s="5" t="s">
        <v>112</v>
      </c>
      <c r="F331" s="5">
        <v>0</v>
      </c>
      <c r="G331" s="5">
        <v>0</v>
      </c>
      <c r="H331" s="5">
        <v>162510</v>
      </c>
      <c r="I331" s="5">
        <f t="shared" si="5"/>
        <v>1702691</v>
      </c>
    </row>
    <row r="332" spans="1:9" x14ac:dyDescent="0.3">
      <c r="A332" s="5">
        <v>2022</v>
      </c>
      <c r="B332" s="5" t="s">
        <v>79</v>
      </c>
      <c r="C332" s="5" t="s">
        <v>82</v>
      </c>
      <c r="D332" s="5">
        <v>7678</v>
      </c>
      <c r="E332" s="5" t="s">
        <v>112</v>
      </c>
      <c r="F332" s="5">
        <v>0</v>
      </c>
      <c r="G332" s="5">
        <v>0</v>
      </c>
      <c r="H332" s="5">
        <v>0</v>
      </c>
      <c r="I332" s="5">
        <f t="shared" si="5"/>
        <v>7678</v>
      </c>
    </row>
    <row r="333" spans="1:9" x14ac:dyDescent="0.3">
      <c r="A333" s="5">
        <v>2022</v>
      </c>
      <c r="B333" s="5" t="s">
        <v>79</v>
      </c>
      <c r="C333" s="5" t="s">
        <v>83</v>
      </c>
      <c r="D333" s="5">
        <v>10522680</v>
      </c>
      <c r="E333" s="5" t="s">
        <v>112</v>
      </c>
      <c r="F333" s="5">
        <v>0</v>
      </c>
      <c r="G333" s="5">
        <v>2222790</v>
      </c>
      <c r="H333" s="5">
        <v>0</v>
      </c>
      <c r="I333" s="5">
        <f t="shared" si="5"/>
        <v>8299890</v>
      </c>
    </row>
    <row r="334" spans="1:9" x14ac:dyDescent="0.3">
      <c r="A334" s="5">
        <v>2022</v>
      </c>
      <c r="B334" s="5" t="s">
        <v>79</v>
      </c>
      <c r="C334" s="5" t="s">
        <v>84</v>
      </c>
      <c r="D334" s="5">
        <v>82109312</v>
      </c>
      <c r="E334" s="5" t="s">
        <v>112</v>
      </c>
      <c r="F334" s="5">
        <v>0</v>
      </c>
      <c r="G334" s="5">
        <v>0</v>
      </c>
      <c r="H334" s="5">
        <v>0</v>
      </c>
      <c r="I334" s="5">
        <f t="shared" si="5"/>
        <v>82109312</v>
      </c>
    </row>
    <row r="335" spans="1:9" x14ac:dyDescent="0.3">
      <c r="A335" s="5">
        <v>2022</v>
      </c>
      <c r="B335" s="5" t="s">
        <v>79</v>
      </c>
      <c r="C335" s="5" t="s">
        <v>85</v>
      </c>
      <c r="D335" s="5">
        <v>861843</v>
      </c>
      <c r="E335" s="5" t="s">
        <v>112</v>
      </c>
      <c r="F335" s="5">
        <v>0</v>
      </c>
      <c r="G335" s="5">
        <v>0</v>
      </c>
      <c r="H335" s="5">
        <v>0</v>
      </c>
      <c r="I335" s="5">
        <f t="shared" si="5"/>
        <v>861843</v>
      </c>
    </row>
    <row r="336" spans="1:9" x14ac:dyDescent="0.3">
      <c r="A336" s="5">
        <v>2022</v>
      </c>
      <c r="B336" s="5" t="s">
        <v>79</v>
      </c>
      <c r="C336" s="5" t="s">
        <v>86</v>
      </c>
      <c r="D336" s="5">
        <v>0</v>
      </c>
      <c r="E336" s="5" t="s">
        <v>112</v>
      </c>
      <c r="F336" s="5">
        <v>0</v>
      </c>
      <c r="G336" s="5">
        <v>0</v>
      </c>
      <c r="H336" s="5">
        <v>0</v>
      </c>
      <c r="I336" s="5">
        <f t="shared" si="5"/>
        <v>0</v>
      </c>
    </row>
    <row r="337" spans="1:9" x14ac:dyDescent="0.3">
      <c r="A337" s="5">
        <v>2022</v>
      </c>
      <c r="B337" s="5" t="s">
        <v>79</v>
      </c>
      <c r="C337" s="5" t="s">
        <v>87</v>
      </c>
      <c r="D337" s="5">
        <v>16112119</v>
      </c>
      <c r="E337" s="5" t="s">
        <v>112</v>
      </c>
      <c r="F337" s="5">
        <v>0</v>
      </c>
      <c r="G337" s="5">
        <v>0</v>
      </c>
      <c r="H337" s="5">
        <v>0</v>
      </c>
      <c r="I337" s="5">
        <f t="shared" si="5"/>
        <v>16112119</v>
      </c>
    </row>
    <row r="338" spans="1:9" x14ac:dyDescent="0.3">
      <c r="A338" s="5">
        <v>2022</v>
      </c>
      <c r="B338" s="5" t="s">
        <v>79</v>
      </c>
      <c r="C338" s="5" t="s">
        <v>88</v>
      </c>
      <c r="D338" s="5">
        <v>5592879</v>
      </c>
      <c r="E338" s="5" t="s">
        <v>112</v>
      </c>
      <c r="F338" s="5">
        <v>0</v>
      </c>
      <c r="G338" s="5">
        <v>245231</v>
      </c>
      <c r="H338" s="5">
        <v>0</v>
      </c>
      <c r="I338" s="5">
        <f t="shared" si="5"/>
        <v>5347648</v>
      </c>
    </row>
    <row r="339" spans="1:9" x14ac:dyDescent="0.3">
      <c r="A339" s="5">
        <v>2022</v>
      </c>
      <c r="B339" s="5" t="s">
        <v>79</v>
      </c>
      <c r="C339" s="5" t="s">
        <v>89</v>
      </c>
      <c r="D339" s="5">
        <v>64854576</v>
      </c>
      <c r="E339" s="5" t="s">
        <v>112</v>
      </c>
      <c r="F339" s="5">
        <v>11259764</v>
      </c>
      <c r="G339" s="5">
        <v>0</v>
      </c>
      <c r="H339" s="5">
        <v>0</v>
      </c>
      <c r="I339" s="5">
        <f t="shared" si="5"/>
        <v>53594812</v>
      </c>
    </row>
    <row r="340" spans="1:9" x14ac:dyDescent="0.3">
      <c r="A340" s="5">
        <v>2022</v>
      </c>
      <c r="B340" s="5" t="s">
        <v>79</v>
      </c>
      <c r="C340" s="5" t="s">
        <v>90</v>
      </c>
      <c r="D340" s="5">
        <v>317484</v>
      </c>
      <c r="E340" s="5" t="s">
        <v>112</v>
      </c>
      <c r="F340" s="5">
        <v>0</v>
      </c>
      <c r="G340" s="5">
        <v>317484</v>
      </c>
      <c r="H340" s="5">
        <v>0</v>
      </c>
      <c r="I340" s="5">
        <f t="shared" si="5"/>
        <v>0</v>
      </c>
    </row>
    <row r="341" spans="1:9" x14ac:dyDescent="0.3">
      <c r="A341" s="5">
        <v>2022</v>
      </c>
      <c r="B341" s="5" t="s">
        <v>79</v>
      </c>
      <c r="C341" s="5" t="s">
        <v>91</v>
      </c>
      <c r="D341" s="5">
        <v>10523060</v>
      </c>
      <c r="E341" s="5" t="s">
        <v>112</v>
      </c>
      <c r="F341" s="5">
        <v>0</v>
      </c>
      <c r="G341" s="5">
        <v>0</v>
      </c>
      <c r="H341" s="5">
        <v>0</v>
      </c>
      <c r="I341" s="5">
        <f t="shared" si="5"/>
        <v>10523060</v>
      </c>
    </row>
    <row r="342" spans="1:9" x14ac:dyDescent="0.3">
      <c r="A342" s="5">
        <v>2022</v>
      </c>
      <c r="B342" s="5" t="s">
        <v>79</v>
      </c>
      <c r="C342" s="5" t="s">
        <v>92</v>
      </c>
      <c r="D342" s="5">
        <v>100000</v>
      </c>
      <c r="E342" s="5" t="s">
        <v>112</v>
      </c>
      <c r="F342" s="5">
        <v>0</v>
      </c>
      <c r="G342" s="5">
        <v>0</v>
      </c>
      <c r="H342" s="5">
        <v>0</v>
      </c>
      <c r="I342" s="5">
        <f t="shared" si="5"/>
        <v>100000</v>
      </c>
    </row>
    <row r="343" spans="1:9" x14ac:dyDescent="0.3">
      <c r="A343" s="5">
        <v>2022</v>
      </c>
      <c r="B343" s="5" t="s">
        <v>79</v>
      </c>
      <c r="C343" s="5" t="s">
        <v>93</v>
      </c>
      <c r="D343" s="5">
        <v>149837</v>
      </c>
      <c r="E343" s="5" t="s">
        <v>112</v>
      </c>
      <c r="F343" s="5">
        <v>0</v>
      </c>
      <c r="G343" s="5">
        <v>149837</v>
      </c>
      <c r="H343" s="5">
        <v>0</v>
      </c>
      <c r="I343" s="5">
        <f t="shared" si="5"/>
        <v>0</v>
      </c>
    </row>
    <row r="344" spans="1:9" x14ac:dyDescent="0.3">
      <c r="A344" s="5">
        <v>2022</v>
      </c>
      <c r="B344" s="5" t="s">
        <v>79</v>
      </c>
      <c r="C344" s="5" t="s">
        <v>94</v>
      </c>
      <c r="D344" s="5">
        <v>4189320</v>
      </c>
      <c r="E344" s="5" t="s">
        <v>112</v>
      </c>
      <c r="F344" s="5">
        <v>0</v>
      </c>
      <c r="G344" s="5">
        <v>0</v>
      </c>
      <c r="H344" s="5">
        <v>0</v>
      </c>
      <c r="I344" s="5">
        <f t="shared" si="5"/>
        <v>4189320</v>
      </c>
    </row>
    <row r="345" spans="1:9" x14ac:dyDescent="0.3">
      <c r="A345" s="5">
        <v>2022</v>
      </c>
      <c r="B345" s="5" t="s">
        <v>79</v>
      </c>
      <c r="C345" s="5" t="s">
        <v>95</v>
      </c>
      <c r="D345" s="5">
        <v>0</v>
      </c>
      <c r="E345" s="5" t="s">
        <v>112</v>
      </c>
      <c r="F345" s="5">
        <v>0</v>
      </c>
      <c r="G345" s="5">
        <v>0</v>
      </c>
      <c r="H345" s="5">
        <v>0</v>
      </c>
      <c r="I345" s="5">
        <f t="shared" si="5"/>
        <v>0</v>
      </c>
    </row>
    <row r="346" spans="1:9" x14ac:dyDescent="0.3">
      <c r="A346" s="5">
        <v>2022</v>
      </c>
      <c r="B346" s="5" t="s">
        <v>79</v>
      </c>
      <c r="C346" s="5" t="s">
        <v>96</v>
      </c>
      <c r="D346" s="5">
        <v>144150</v>
      </c>
      <c r="E346" s="5" t="s">
        <v>112</v>
      </c>
      <c r="F346" s="5">
        <v>0</v>
      </c>
      <c r="G346" s="5">
        <v>144150</v>
      </c>
      <c r="H346" s="5">
        <v>0</v>
      </c>
      <c r="I346" s="5">
        <f t="shared" si="5"/>
        <v>0</v>
      </c>
    </row>
    <row r="347" spans="1:9" x14ac:dyDescent="0.3">
      <c r="A347" s="5">
        <v>2022</v>
      </c>
      <c r="B347" s="5" t="s">
        <v>79</v>
      </c>
      <c r="C347" s="5" t="s">
        <v>97</v>
      </c>
      <c r="D347" s="5">
        <v>120573615</v>
      </c>
      <c r="E347" s="5" t="s">
        <v>112</v>
      </c>
      <c r="F347" s="5">
        <v>0</v>
      </c>
      <c r="G347" s="5">
        <v>2884820</v>
      </c>
      <c r="H347" s="5">
        <v>0</v>
      </c>
      <c r="I347" s="5">
        <f t="shared" si="5"/>
        <v>117688795</v>
      </c>
    </row>
    <row r="348" spans="1:9" x14ac:dyDescent="0.3">
      <c r="A348" s="5">
        <v>2022</v>
      </c>
      <c r="B348" s="5" t="s">
        <v>98</v>
      </c>
      <c r="C348" s="5" t="s">
        <v>99</v>
      </c>
      <c r="D348" s="5"/>
      <c r="E348" s="5"/>
      <c r="F348" s="5"/>
      <c r="G348" s="5"/>
      <c r="H348" s="5"/>
      <c r="I348" s="5">
        <f t="shared" si="5"/>
        <v>0</v>
      </c>
    </row>
    <row r="349" spans="1:9" x14ac:dyDescent="0.3">
      <c r="A349" s="5">
        <v>2022</v>
      </c>
      <c r="B349" s="5" t="s">
        <v>98</v>
      </c>
      <c r="C349" s="5" t="s">
        <v>100</v>
      </c>
      <c r="D349" s="5"/>
      <c r="E349" s="5"/>
      <c r="F349" s="5"/>
      <c r="G349" s="5"/>
      <c r="H349" s="5"/>
      <c r="I349" s="5">
        <f t="shared" si="5"/>
        <v>0</v>
      </c>
    </row>
    <row r="350" spans="1:9" x14ac:dyDescent="0.3">
      <c r="A350" s="5">
        <v>2022</v>
      </c>
      <c r="B350" s="5" t="s">
        <v>98</v>
      </c>
      <c r="C350" s="5" t="s">
        <v>101</v>
      </c>
      <c r="D350" s="5"/>
      <c r="E350" s="5"/>
      <c r="F350" s="5"/>
      <c r="G350" s="5"/>
      <c r="H350" s="5"/>
      <c r="I350" s="5">
        <f t="shared" si="5"/>
        <v>0</v>
      </c>
    </row>
    <row r="351" spans="1:9" x14ac:dyDescent="0.3">
      <c r="A351" s="5">
        <v>2022</v>
      </c>
      <c r="B351" s="5" t="s">
        <v>98</v>
      </c>
      <c r="C351" s="5" t="s">
        <v>102</v>
      </c>
      <c r="D351" s="5"/>
      <c r="E351" s="5"/>
      <c r="F351" s="5"/>
      <c r="G351" s="5"/>
      <c r="H351" s="5"/>
      <c r="I351" s="5">
        <f t="shared" si="5"/>
        <v>0</v>
      </c>
    </row>
    <row r="352" spans="1:9" x14ac:dyDescent="0.3">
      <c r="A352" s="5">
        <v>2022</v>
      </c>
      <c r="B352" s="5" t="s">
        <v>103</v>
      </c>
      <c r="C352" s="5" t="s">
        <v>104</v>
      </c>
      <c r="D352" s="5">
        <v>0</v>
      </c>
      <c r="E352" s="5" t="s">
        <v>112</v>
      </c>
      <c r="F352" s="5">
        <v>0</v>
      </c>
      <c r="G352" s="5">
        <v>0</v>
      </c>
      <c r="H352" s="5">
        <v>0</v>
      </c>
      <c r="I352" s="5">
        <f t="shared" si="5"/>
        <v>0</v>
      </c>
    </row>
    <row r="353" spans="1:9" x14ac:dyDescent="0.3">
      <c r="A353" s="5">
        <v>2022</v>
      </c>
      <c r="B353" s="5" t="s">
        <v>103</v>
      </c>
      <c r="C353" s="5" t="s">
        <v>105</v>
      </c>
      <c r="D353" s="5">
        <v>3031928</v>
      </c>
      <c r="E353" s="5" t="s">
        <v>112</v>
      </c>
      <c r="F353" s="5">
        <v>0</v>
      </c>
      <c r="G353" s="5">
        <v>2241928</v>
      </c>
      <c r="H353" s="5">
        <v>0</v>
      </c>
      <c r="I353" s="5">
        <f t="shared" si="5"/>
        <v>790000</v>
      </c>
    </row>
    <row r="354" spans="1:9" x14ac:dyDescent="0.3">
      <c r="A354" s="5">
        <v>2022</v>
      </c>
      <c r="B354" s="5" t="s">
        <v>103</v>
      </c>
      <c r="C354" s="5" t="s">
        <v>106</v>
      </c>
      <c r="D354" s="5">
        <v>20632797</v>
      </c>
      <c r="E354" s="5" t="s">
        <v>112</v>
      </c>
      <c r="F354" s="5">
        <v>0</v>
      </c>
      <c r="G354" s="5">
        <v>10289649</v>
      </c>
      <c r="H354" s="5">
        <v>0</v>
      </c>
      <c r="I354" s="5">
        <f t="shared" si="5"/>
        <v>10343148</v>
      </c>
    </row>
    <row r="355" spans="1:9" x14ac:dyDescent="0.3">
      <c r="A355" s="5">
        <v>2022</v>
      </c>
      <c r="B355" s="5" t="s">
        <v>103</v>
      </c>
      <c r="C355" s="5" t="s">
        <v>107</v>
      </c>
      <c r="D355" s="5">
        <v>39104933</v>
      </c>
      <c r="E355" s="5" t="s">
        <v>112</v>
      </c>
      <c r="F355" s="5">
        <v>0</v>
      </c>
      <c r="G355" s="5">
        <v>0</v>
      </c>
      <c r="H355" s="5">
        <v>0</v>
      </c>
      <c r="I355" s="5">
        <f t="shared" si="5"/>
        <v>39104933</v>
      </c>
    </row>
    <row r="356" spans="1:9" x14ac:dyDescent="0.3">
      <c r="A356" s="5">
        <v>2022</v>
      </c>
      <c r="B356" s="5" t="s">
        <v>103</v>
      </c>
      <c r="C356" s="5" t="s">
        <v>108</v>
      </c>
      <c r="D356" s="5">
        <v>0</v>
      </c>
      <c r="E356" s="5" t="s">
        <v>112</v>
      </c>
      <c r="F356" s="5">
        <v>0</v>
      </c>
      <c r="G356" s="5">
        <v>0</v>
      </c>
      <c r="H356" s="5">
        <v>0</v>
      </c>
      <c r="I356" s="5">
        <f t="shared" si="5"/>
        <v>0</v>
      </c>
    </row>
    <row r="357" spans="1:9" x14ac:dyDescent="0.3">
      <c r="A357" s="5">
        <v>2022</v>
      </c>
      <c r="B357" s="5" t="s">
        <v>103</v>
      </c>
      <c r="C357" s="5" t="s">
        <v>109</v>
      </c>
      <c r="D357" s="5">
        <v>18158676</v>
      </c>
      <c r="E357" s="5" t="s">
        <v>112</v>
      </c>
      <c r="F357" s="5">
        <v>0</v>
      </c>
      <c r="G357" s="5">
        <v>0</v>
      </c>
      <c r="H357" s="5">
        <v>0</v>
      </c>
      <c r="I357" s="5">
        <f t="shared" si="5"/>
        <v>18158676</v>
      </c>
    </row>
    <row r="358" spans="1:9" x14ac:dyDescent="0.3">
      <c r="A358" s="5">
        <v>2022</v>
      </c>
      <c r="B358" s="5" t="s">
        <v>103</v>
      </c>
      <c r="C358" s="5" t="s">
        <v>110</v>
      </c>
      <c r="D358" s="5">
        <v>402380282</v>
      </c>
      <c r="E358" s="5" t="s">
        <v>112</v>
      </c>
      <c r="F358" s="5">
        <v>0</v>
      </c>
      <c r="G358" s="5">
        <v>4528423</v>
      </c>
      <c r="H358" s="5">
        <v>368157611</v>
      </c>
      <c r="I358" s="5">
        <f t="shared" si="5"/>
        <v>29694248</v>
      </c>
    </row>
    <row r="359" spans="1:9" x14ac:dyDescent="0.3">
      <c r="A359" s="5">
        <v>2022</v>
      </c>
      <c r="B359" s="5" t="s">
        <v>103</v>
      </c>
      <c r="C359" s="5" t="s">
        <v>111</v>
      </c>
      <c r="D359" s="5">
        <v>0</v>
      </c>
      <c r="E359" s="5" t="s">
        <v>112</v>
      </c>
      <c r="F359" s="5">
        <v>0</v>
      </c>
      <c r="G359" s="5">
        <v>0</v>
      </c>
      <c r="H359" s="5">
        <v>0</v>
      </c>
      <c r="I359" s="5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2026-02-07T08:40:11Z</dcterms:created>
  <dcterms:modified xsi:type="dcterms:W3CDTF">2026-02-07T08:40:29Z</dcterms:modified>
</cp:coreProperties>
</file>