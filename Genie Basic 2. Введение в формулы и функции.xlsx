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2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Admin\Desktop\Упражнения и рабочие файлы\Excel\Excel Genie\1 Genie Basic\1 GB 2 Знакомство с функциями и формулами\"/>
    </mc:Choice>
  </mc:AlternateContent>
  <xr:revisionPtr revIDLastSave="0" documentId="13_ncr:1_{F7DAD517-1A52-421E-B32B-5051870B46ED}" xr6:coauthVersionLast="36" xr6:coauthVersionMax="47" xr10:uidLastSave="{00000000-0000-0000-0000-000000000000}"/>
  <bookViews>
    <workbookView xWindow="0" yWindow="0" windowWidth="25095" windowHeight="14055" activeTab="1" xr2:uid="{00000000-000D-0000-FFFF-FFFF00000000}"/>
  </bookViews>
  <sheets>
    <sheet name="Титульный лист" sheetId="1" r:id="rId1"/>
    <sheet name="2.0 Формулы-памятка" sheetId="19" r:id="rId2"/>
    <sheet name="2.2 Ссылки (бывш. 1.9)" sheetId="4" r:id="rId3"/>
    <sheet name="2.3 Смешанные ссылки" sheetId="18" r:id="rId4"/>
    <sheet name="2.4 Именованные диапазоны" sheetId="20" r:id="rId5"/>
    <sheet name="2.5 Введение в функции" sheetId="14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09" i="14" l="1"/>
  <c r="E104" i="14"/>
  <c r="E103" i="14"/>
  <c r="E102" i="14"/>
  <c r="E101" i="14"/>
  <c r="E100" i="14"/>
  <c r="E99" i="14"/>
  <c r="E98" i="14"/>
  <c r="E97" i="14"/>
  <c r="E96" i="14"/>
  <c r="E6" i="14"/>
  <c r="F6" i="14" s="1"/>
  <c r="E7" i="14"/>
  <c r="F7" i="14" s="1"/>
  <c r="E8" i="14"/>
  <c r="F8" i="14" s="1"/>
  <c r="E9" i="14"/>
  <c r="F9" i="14" s="1"/>
  <c r="E10" i="14"/>
  <c r="F10" i="14" s="1"/>
  <c r="E11" i="14"/>
  <c r="F11" i="14" s="1"/>
  <c r="E12" i="14"/>
  <c r="F12" i="14" s="1"/>
  <c r="E13" i="14"/>
  <c r="F13" i="14" s="1"/>
  <c r="E5" i="14"/>
  <c r="F5" i="14" s="1"/>
</calcChain>
</file>

<file path=xl/sharedStrings.xml><?xml version="1.0" encoding="utf-8"?>
<sst xmlns="http://schemas.openxmlformats.org/spreadsheetml/2006/main" count="164" uniqueCount="68">
  <si>
    <t>Сотрудник</t>
  </si>
  <si>
    <t>Иванов</t>
  </si>
  <si>
    <t>Петров</t>
  </si>
  <si>
    <t>Сидоров</t>
  </si>
  <si>
    <t>НДФЛ:</t>
  </si>
  <si>
    <t>Алексеев</t>
  </si>
  <si>
    <t>Васильев</t>
  </si>
  <si>
    <t>Петренко</t>
  </si>
  <si>
    <t>Васнецов</t>
  </si>
  <si>
    <t>Макаров</t>
  </si>
  <si>
    <t>Ватрушкин</t>
  </si>
  <si>
    <t>Оклад</t>
  </si>
  <si>
    <t>Премия</t>
  </si>
  <si>
    <t>Всего</t>
  </si>
  <si>
    <t>Всего "чистыми"</t>
  </si>
  <si>
    <t>План</t>
  </si>
  <si>
    <t>Факт</t>
  </si>
  <si>
    <t>Выполнение</t>
  </si>
  <si>
    <t>Премия, округл.</t>
  </si>
  <si>
    <t>35+89=</t>
  </si>
  <si>
    <t>46x10-320=</t>
  </si>
  <si>
    <t>Выплатить Петрову:</t>
  </si>
  <si>
    <t>Премия:</t>
  </si>
  <si>
    <t>Оклад+Премия "чистыми"</t>
  </si>
  <si>
    <t>Среднее:</t>
  </si>
  <si>
    <t>Мин:</t>
  </si>
  <si>
    <t>Макс:</t>
  </si>
  <si>
    <t>Всего:</t>
  </si>
  <si>
    <t>Финансовые</t>
  </si>
  <si>
    <t>На вкладе, 2020</t>
  </si>
  <si>
    <t>Годовая ставка</t>
  </si>
  <si>
    <t>Начисл. в конце месяца</t>
  </si>
  <si>
    <t>Срок в годах</t>
  </si>
  <si>
    <t>На вкладе, 2025</t>
  </si>
  <si>
    <t>Ежем. Пополнение</t>
  </si>
  <si>
    <t>Дата и время</t>
  </si>
  <si>
    <t>Продолжительность:</t>
  </si>
  <si>
    <t>часов</t>
  </si>
  <si>
    <t>минут</t>
  </si>
  <si>
    <t>секунд</t>
  </si>
  <si>
    <t>Начало заезда</t>
  </si>
  <si>
    <t>Конец заезда</t>
  </si>
  <si>
    <t>Математические</t>
  </si>
  <si>
    <t>Число:</t>
  </si>
  <si>
    <t>Корень:</t>
  </si>
  <si>
    <t>Статистические</t>
  </si>
  <si>
    <t>Ссылки и массивы</t>
  </si>
  <si>
    <t>Продажи</t>
  </si>
  <si>
    <t>Работа с базой данных</t>
  </si>
  <si>
    <t>&gt;150000</t>
  </si>
  <si>
    <t>Текстовые</t>
  </si>
  <si>
    <t>Акт:</t>
  </si>
  <si>
    <t>LN-1050-247</t>
  </si>
  <si>
    <t>Договор:</t>
  </si>
  <si>
    <t>Логические</t>
  </si>
  <si>
    <t>Проверка свойств и значений</t>
  </si>
  <si>
    <t>Вася</t>
  </si>
  <si>
    <t>Является текстом</t>
  </si>
  <si>
    <t>Является числом</t>
  </si>
  <si>
    <t>Является ошибкой</t>
  </si>
  <si>
    <t>см. документацию</t>
  </si>
  <si>
    <t>Интернет</t>
  </si>
  <si>
    <t>Определённые пользователем</t>
  </si>
  <si>
    <t>Инженерные</t>
  </si>
  <si>
    <t>Аналитические</t>
  </si>
  <si>
    <t>Совместимость</t>
  </si>
  <si>
    <t>ПРОЧЕЕ:</t>
  </si>
  <si>
    <t>Примеры функций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</si>
</sst>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р_._-;\-* #,##0.00_р_._-;_-* &quot;-&quot;??_р_._-;_-@_-"/>
    <numFmt numFmtId="165" formatCode="_-* #,##0_р_._-;\-* #,##0_р_._-;_-* &quot;-&quot;??_р_._-;_-@_-"/>
  </numFmts>
  <fonts count="7" x14ac:knownFonts="1">
    <font>
      <sz val="11"/>
      <color theme="1"/>
      <name val="Roboto"/>
      <family val="2"/>
      <charset val="204"/>
      <scheme val="minor"/>
    </font>
    <font>
      <sz val="11"/>
      <color theme="1"/>
      <name val="Roboto"/>
      <family val="2"/>
      <charset val="204"/>
      <scheme val="minor"/>
    </font>
    <font>
      <b/>
      <sz val="11"/>
      <color theme="1"/>
      <name val="Roboto"/>
      <family val="2"/>
      <charset val="204"/>
      <scheme val="minor"/>
    </font>
    <font>
      <sz val="11"/>
      <color theme="1"/>
      <name val="Roboto"/>
      <charset val="204"/>
    </font>
    <font>
      <b/>
      <sz val="11"/>
      <color theme="1"/>
      <name val="Roboto"/>
      <charset val="204"/>
    </font>
    <font>
      <u/>
      <sz val="11"/>
      <color theme="10"/>
      <name val="Roboto"/>
      <family val="2"/>
      <charset val="204"/>
      <scheme val="minor"/>
    </font>
    <font>
      <b/>
      <sz val="11"/>
      <color theme="1"/>
      <name val="Roboto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9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0" fontId="0" fillId="0" borderId="1" xfId="0" applyBorder="1"/>
    <xf numFmtId="0" fontId="3" fillId="0" borderId="0" xfId="0" applyFont="1"/>
    <xf numFmtId="9" fontId="3" fillId="0" borderId="0" xfId="0" applyNumberFormat="1" applyFont="1"/>
    <xf numFmtId="0" fontId="4" fillId="0" borderId="0" xfId="0" applyFont="1"/>
    <xf numFmtId="165" fontId="3" fillId="0" borderId="0" xfId="1" applyNumberFormat="1" applyFont="1"/>
    <xf numFmtId="165" fontId="3" fillId="0" borderId="0" xfId="0" applyNumberFormat="1" applyFont="1"/>
    <xf numFmtId="9" fontId="3" fillId="0" borderId="0" xfId="2" applyFont="1"/>
    <xf numFmtId="164" fontId="3" fillId="0" borderId="0" xfId="1" applyFont="1"/>
    <xf numFmtId="0" fontId="2" fillId="0" borderId="1" xfId="0" applyFont="1" applyBorder="1"/>
    <xf numFmtId="165" fontId="0" fillId="0" borderId="1" xfId="1" applyNumberFormat="1" applyFont="1" applyBorder="1"/>
    <xf numFmtId="10" fontId="0" fillId="0" borderId="0" xfId="0" applyNumberFormat="1"/>
    <xf numFmtId="0" fontId="0" fillId="2" borderId="0" xfId="0" applyFill="1"/>
    <xf numFmtId="21" fontId="0" fillId="0" borderId="0" xfId="0" applyNumberFormat="1"/>
    <xf numFmtId="165" fontId="0" fillId="2" borderId="0" xfId="0" applyNumberFormat="1" applyFill="1"/>
    <xf numFmtId="0" fontId="6" fillId="0" borderId="0" xfId="0" applyFont="1"/>
    <xf numFmtId="164" fontId="3" fillId="2" borderId="0" xfId="1" applyFont="1" applyFill="1"/>
    <xf numFmtId="165" fontId="3" fillId="2" borderId="0" xfId="0" applyNumberFormat="1" applyFont="1" applyFill="1"/>
    <xf numFmtId="165" fontId="0" fillId="2" borderId="1" xfId="0" applyNumberFormat="1" applyFill="1" applyBorder="1"/>
    <xf numFmtId="0" fontId="0" fillId="0" borderId="0" xfId="0" applyAlignment="1">
      <alignment horizontal="center" vertical="center" wrapText="1"/>
    </xf>
    <xf numFmtId="0" fontId="5" fillId="0" borderId="0" xfId="3"/>
    <xf numFmtId="0" fontId="6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</cellXfs>
  <cellStyles count="4">
    <cellStyle name="Гиперссылка" xfId="3" builtinId="8"/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534650" cy="5924550"/>
    <xdr:pic>
      <xdr:nvPicPr>
        <xdr:cNvPr id="6" name="image16.jpg" title="Изображение">
          <a:extLst>
            <a:ext uri="{FF2B5EF4-FFF2-40B4-BE49-F238E27FC236}">
              <a16:creationId xmlns:a16="http://schemas.microsoft.com/office/drawing/2014/main" id="{B41F5900-DBCD-4074-8F9F-80A9CD71EC1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534650" cy="5924550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0</xdr:colOff>
      <xdr:row>3</xdr:row>
      <xdr:rowOff>107674</xdr:rowOff>
    </xdr:from>
    <xdr:to>
      <xdr:col>17</xdr:col>
      <xdr:colOff>0</xdr:colOff>
      <xdr:row>27</xdr:row>
      <xdr:rowOff>74543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6F0488D-FC22-433C-B76C-5CAA9C96D9B4}"/>
            </a:ext>
          </a:extLst>
        </xdr:cNvPr>
        <xdr:cNvSpPr txBox="1"/>
      </xdr:nvSpPr>
      <xdr:spPr>
        <a:xfrm>
          <a:off x="0" y="679174"/>
          <a:ext cx="10514135" cy="45388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600">
              <a:solidFill>
                <a:schemeClr val="bg1"/>
              </a:solidFill>
              <a:latin typeface="Roboto" panose="02000000000000000000" pitchFamily="2" charset="0"/>
              <a:ea typeface="Roboto" panose="02000000000000000000" pitchFamily="2" charset="0"/>
            </a:rPr>
            <a:t>Genie</a:t>
          </a:r>
          <a:r>
            <a:rPr lang="en-US" sz="3600" baseline="0">
              <a:solidFill>
                <a:schemeClr val="bg1"/>
              </a:solidFill>
              <a:latin typeface="Roboto" panose="02000000000000000000" pitchFamily="2" charset="0"/>
              <a:ea typeface="Roboto" panose="02000000000000000000" pitchFamily="2" charset="0"/>
            </a:rPr>
            <a:t> Basic:</a:t>
          </a:r>
          <a:r>
            <a:rPr lang="ru-RU" sz="3600" baseline="0">
              <a:solidFill>
                <a:schemeClr val="bg1"/>
              </a:solidFill>
              <a:latin typeface="Roboto" panose="02000000000000000000" pitchFamily="2" charset="0"/>
              <a:ea typeface="Roboto" panose="02000000000000000000" pitchFamily="2" charset="0"/>
            </a:rPr>
            <a:t> Базовый уровень</a:t>
          </a:r>
        </a:p>
        <a:p>
          <a:pPr algn="ctr"/>
          <a:r>
            <a:rPr lang="ru-RU" sz="3600">
              <a:solidFill>
                <a:schemeClr val="bg1"/>
              </a:solidFill>
              <a:latin typeface="Roboto" panose="02000000000000000000" pitchFamily="2" charset="0"/>
              <a:ea typeface="Roboto" panose="02000000000000000000" pitchFamily="2" charset="0"/>
            </a:rPr>
            <a:t>Модуль</a:t>
          </a:r>
          <a:r>
            <a:rPr lang="ru-RU" sz="3600" baseline="0">
              <a:solidFill>
                <a:schemeClr val="bg1"/>
              </a:solidFill>
              <a:latin typeface="Roboto" panose="02000000000000000000" pitchFamily="2" charset="0"/>
              <a:ea typeface="Roboto" panose="02000000000000000000" pitchFamily="2" charset="0"/>
            </a:rPr>
            <a:t> 2: Формулы и функции</a:t>
          </a:r>
          <a:endParaRPr lang="ru-RU" sz="3600">
            <a:solidFill>
              <a:schemeClr val="bg1"/>
            </a:solidFill>
            <a:latin typeface="Roboto" panose="02000000000000000000" pitchFamily="2" charset="0"/>
            <a:ea typeface="Roboto" panose="02000000000000000000" pitchFamily="2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</xdr:colOff>
      <xdr:row>0</xdr:row>
      <xdr:rowOff>0</xdr:rowOff>
    </xdr:from>
    <xdr:to>
      <xdr:col>19</xdr:col>
      <xdr:colOff>1</xdr:colOff>
      <xdr:row>32</xdr:row>
      <xdr:rowOff>49481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63A7503-E837-4BF8-A802-4EA76CE8ED88}"/>
            </a:ext>
          </a:extLst>
        </xdr:cNvPr>
        <xdr:cNvSpPr txBox="1"/>
      </xdr:nvSpPr>
      <xdr:spPr>
        <a:xfrm>
          <a:off x="6958199" y="0"/>
          <a:ext cx="6865422" cy="66303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000" baseline="0"/>
            <a:t>Формула пишется в той ячейке, в которой нужно получить результат</a:t>
          </a:r>
        </a:p>
        <a:p>
          <a:r>
            <a:rPr lang="ru-RU" sz="1000" baseline="0"/>
            <a:t>Все формулы начинаются со знака =</a:t>
          </a:r>
        </a:p>
        <a:p>
          <a:r>
            <a:rPr lang="ru-RU" sz="1000" baseline="0"/>
            <a:t>В формулах </a:t>
          </a:r>
          <a:r>
            <a:rPr lang="ru-RU" sz="1000" b="1" baseline="0"/>
            <a:t>можно использовать:</a:t>
          </a:r>
        </a:p>
        <a:p>
          <a:r>
            <a:rPr lang="ru-RU" sz="1000" b="1" baseline="0"/>
            <a:t>- числа, например </a:t>
          </a:r>
        </a:p>
        <a:p>
          <a:r>
            <a:rPr lang="ru-RU" sz="1000" baseline="0"/>
            <a:t>42</a:t>
          </a:r>
        </a:p>
        <a:p>
          <a:r>
            <a:rPr lang="ru-RU" sz="1000" baseline="0"/>
            <a:t>564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000" baseline="0"/>
            <a:t>"длинные" числа пишутся в формулах без разделителей разрядов, например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000" baseline="0"/>
            <a:t>100500 </a:t>
          </a:r>
          <a:r>
            <a:rPr lang="ru-RU" sz="1000" strike="sngStrike" baseline="0"/>
            <a:t>100 500</a:t>
          </a:r>
          <a:r>
            <a:rPr lang="ru-RU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1450347 </a:t>
          </a:r>
          <a:r>
            <a:rPr lang="ru-RU" sz="1000" strike="sng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1,450,347</a:t>
          </a:r>
          <a:r>
            <a:rPr lang="ru-RU" sz="1000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000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дробные числа пишутся через установленный в Параметрах разделитель десятичных знаков, например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000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45,7 или 45.0</a:t>
          </a:r>
          <a:endParaRPr lang="ru-RU" sz="1000" strike="sngStrike" baseline="0"/>
        </a:p>
        <a:p>
          <a:r>
            <a:rPr lang="ru-RU" sz="1000" b="1" baseline="0"/>
            <a:t>- "человеческие" слова, например "Вася"</a:t>
          </a:r>
        </a:p>
        <a:p>
          <a:r>
            <a:rPr lang="ru-RU" sz="1000" baseline="0"/>
            <a:t>"человеческие" слова всегда пишутся в кавычках, иначе </a:t>
          </a:r>
          <a:r>
            <a:rPr lang="en-US" sz="1000" baseline="0"/>
            <a:t>Excel</a:t>
          </a:r>
          <a:r>
            <a:rPr lang="ru-RU" sz="1000" baseline="0"/>
            <a:t> воспримет это как ссылку</a:t>
          </a:r>
        </a:p>
        <a:p>
          <a:r>
            <a:rPr lang="ru-RU" sz="1000" b="1" baseline="0"/>
            <a:t>- ссылки на ячейки и диапазоны, например</a:t>
          </a:r>
        </a:p>
        <a:p>
          <a:r>
            <a:rPr lang="en-US" sz="1000" baseline="0"/>
            <a:t>A1</a:t>
          </a:r>
          <a:endParaRPr lang="ru-RU" sz="1000" baseline="0"/>
        </a:p>
        <a:p>
          <a:r>
            <a:rPr lang="en-US" sz="1000" baseline="0"/>
            <a:t>'</a:t>
          </a:r>
          <a:r>
            <a:rPr lang="ru-RU" sz="1000" baseline="0"/>
            <a:t>2.1 Формулы</a:t>
          </a:r>
          <a:r>
            <a:rPr lang="en-US" sz="1000" baseline="0"/>
            <a:t>'</a:t>
          </a:r>
          <a:r>
            <a:rPr lang="ru-RU" sz="1000" baseline="0"/>
            <a:t>!</a:t>
          </a:r>
          <a:r>
            <a:rPr lang="en-US" sz="1000" baseline="0"/>
            <a:t>A1</a:t>
          </a:r>
          <a:endParaRPr lang="ru-RU" sz="1000" baseline="0"/>
        </a:p>
        <a:p>
          <a:r>
            <a:rPr lang="ru-RU" sz="1000" baseline="0"/>
            <a:t>(см. подробнее в следующих уроках)</a:t>
          </a:r>
        </a:p>
        <a:p>
          <a:r>
            <a:rPr lang="ru-RU" sz="1000" b="1" baseline="0"/>
            <a:t>- заданные имена "умных таблиц" и именованных диапазонов, например</a:t>
          </a:r>
        </a:p>
        <a:p>
          <a:r>
            <a:rPr lang="ru-RU" sz="1000" baseline="0"/>
            <a:t>Продажи</a:t>
          </a:r>
          <a:r>
            <a:rPr lang="en-US" sz="1000" baseline="0"/>
            <a:t>[</a:t>
          </a:r>
          <a:r>
            <a:rPr lang="ru-RU" sz="1000" baseline="0"/>
            <a:t>Дата</a:t>
          </a:r>
          <a:r>
            <a:rPr lang="en-US" sz="1000" baseline="0"/>
            <a:t>]</a:t>
          </a:r>
        </a:p>
        <a:p>
          <a:r>
            <a:rPr lang="ru-RU" sz="1000" baseline="0"/>
            <a:t>Справочник</a:t>
          </a:r>
        </a:p>
        <a:p>
          <a:r>
            <a:rPr lang="ru-RU" sz="1000" b="1" baseline="0"/>
            <a:t>- операторы математических действий: например</a:t>
          </a:r>
        </a:p>
        <a:p>
          <a:r>
            <a:rPr lang="ru-RU" sz="1000" baseline="0"/>
            <a:t>+ (сложение) </a:t>
          </a:r>
        </a:p>
        <a:p>
          <a:r>
            <a:rPr lang="ru-RU" sz="1000" baseline="0"/>
            <a:t>- (вычитание)</a:t>
          </a:r>
        </a:p>
        <a:p>
          <a:r>
            <a:rPr lang="ru-RU" sz="1000" baseline="0"/>
            <a:t>*</a:t>
          </a:r>
          <a:r>
            <a:rPr lang="en-US" sz="1000" baseline="0"/>
            <a:t> (</a:t>
          </a:r>
          <a:r>
            <a:rPr lang="ru-RU" sz="1000" baseline="0"/>
            <a:t>умножение)</a:t>
          </a:r>
        </a:p>
        <a:p>
          <a:r>
            <a:rPr lang="ru-RU" sz="1000" baseline="0"/>
            <a:t>/ (деление)</a:t>
          </a:r>
        </a:p>
        <a:p>
          <a:r>
            <a:rPr lang="en-US" sz="1000" baseline="0"/>
            <a:t>^</a:t>
          </a:r>
          <a:r>
            <a:rPr lang="ru-RU" sz="1000" baseline="0"/>
            <a:t> (возведение в степень)</a:t>
          </a:r>
        </a:p>
        <a:p>
          <a:r>
            <a:rPr lang="ru-RU" sz="1000" baseline="0"/>
            <a:t>также текстовый оператор </a:t>
          </a:r>
          <a:r>
            <a:rPr lang="en-US" sz="1000" baseline="0"/>
            <a:t>&amp;</a:t>
          </a:r>
          <a:r>
            <a:rPr lang="ru-RU" sz="1000" baseline="0"/>
            <a:t> (соединение текста)</a:t>
          </a:r>
        </a:p>
        <a:p>
          <a:r>
            <a:rPr lang="ru-RU" sz="1000" b="1" baseline="0"/>
            <a:t>- знак % (аналогичен делению на 100)</a:t>
          </a:r>
        </a:p>
        <a:p>
          <a:r>
            <a:rPr lang="ru-RU" sz="1000" b="1" baseline="0"/>
            <a:t>- скобки </a:t>
          </a:r>
        </a:p>
        <a:p>
          <a:r>
            <a:rPr lang="ru-RU" sz="1000" baseline="0"/>
            <a:t>Если скобка открылась, то обязательно должна закрыться</a:t>
          </a:r>
        </a:p>
        <a:p>
          <a:r>
            <a:rPr lang="ru-RU" sz="1000" b="1" baseline="0"/>
            <a:t>- функции</a:t>
          </a:r>
        </a:p>
        <a:p>
          <a:r>
            <a:rPr lang="ru-RU" sz="1000" baseline="0"/>
            <a:t>(см. подробнее в следующих уроках)</a:t>
          </a:r>
        </a:p>
        <a:p>
          <a:r>
            <a:rPr lang="ru-RU" sz="1000" baseline="0"/>
            <a:t>параметры функции пишутся в скобках через разделитель, установленный в Параметрах ; или ,</a:t>
          </a:r>
        </a:p>
        <a:p>
          <a:r>
            <a:rPr lang="ru-RU" sz="1000" b="1" baseline="0"/>
            <a:t>- Операторы сравнения</a:t>
          </a:r>
        </a:p>
        <a:p>
          <a:r>
            <a:rPr lang="en-US" sz="1000" baseline="0"/>
            <a:t>&gt; </a:t>
          </a:r>
          <a:r>
            <a:rPr lang="ru-RU" sz="1000" baseline="0"/>
            <a:t>(больше)</a:t>
          </a:r>
          <a:endParaRPr lang="en-US" sz="1000" baseline="0"/>
        </a:p>
        <a:p>
          <a:r>
            <a:rPr lang="en-US" sz="1000" baseline="0"/>
            <a:t>&lt;</a:t>
          </a:r>
          <a:r>
            <a:rPr lang="ru-RU" sz="1000" baseline="0"/>
            <a:t> (меньше)</a:t>
          </a:r>
        </a:p>
        <a:p>
          <a:r>
            <a:rPr lang="en-US" sz="1000" baseline="0"/>
            <a:t>&gt;= </a:t>
          </a:r>
          <a:r>
            <a:rPr lang="ru-RU" sz="1000" baseline="0"/>
            <a:t>(больше или равно)</a:t>
          </a:r>
        </a:p>
        <a:p>
          <a:r>
            <a:rPr lang="en-US" sz="1000" baseline="0"/>
            <a:t>&lt;= (</a:t>
          </a:r>
          <a:r>
            <a:rPr lang="ru-RU" sz="1000" baseline="0"/>
            <a:t>меньше или равно)</a:t>
          </a:r>
        </a:p>
        <a:p>
          <a:r>
            <a:rPr lang="en-US" sz="1000" baseline="0"/>
            <a:t>&lt;&gt;</a:t>
          </a:r>
          <a:r>
            <a:rPr lang="ru-RU" sz="1000" baseline="0"/>
            <a:t> (не равно)</a:t>
          </a:r>
        </a:p>
        <a:p>
          <a:r>
            <a:rPr lang="en-US" sz="1000" baseline="0"/>
            <a:t>- </a:t>
          </a:r>
          <a:r>
            <a:rPr lang="ru-RU" sz="1000" baseline="0"/>
            <a:t>массивы констант, например</a:t>
          </a:r>
        </a:p>
        <a:p>
          <a:r>
            <a:rPr lang="en-US" sz="1000" baseline="0"/>
            <a:t>{4; 5; 6: 100; 150; 250}</a:t>
          </a:r>
          <a:endParaRPr lang="ru-RU" sz="1000" baseline="0"/>
        </a:p>
      </xdr:txBody>
    </xdr:sp>
    <xdr:clientData/>
  </xdr:twoCellAnchor>
  <xdr:twoCellAnchor>
    <xdr:from>
      <xdr:col>2</xdr:col>
      <xdr:colOff>18554</xdr:colOff>
      <xdr:row>0</xdr:row>
      <xdr:rowOff>0</xdr:rowOff>
    </xdr:from>
    <xdr:to>
      <xdr:col>9</xdr:col>
      <xdr:colOff>18555</xdr:colOff>
      <xdr:row>8</xdr:row>
      <xdr:rowOff>6185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CDFA28F-EBF8-4B91-8326-EECF9A167682}"/>
            </a:ext>
          </a:extLst>
        </xdr:cNvPr>
        <xdr:cNvSpPr txBox="1"/>
      </xdr:nvSpPr>
      <xdr:spPr>
        <a:xfrm>
          <a:off x="2170957" y="0"/>
          <a:ext cx="4805796" cy="19854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aseline="0"/>
            <a:t>1.</a:t>
          </a:r>
          <a:r>
            <a:rPr lang="ru-RU" sz="1000" baseline="0"/>
            <a:t> В ячейке </a:t>
          </a:r>
          <a:r>
            <a:rPr lang="en-US" sz="1000" baseline="0"/>
            <a:t>B1</a:t>
          </a:r>
          <a:r>
            <a:rPr lang="ru-RU" sz="1000" baseline="0"/>
            <a:t> вычислите сумму чисел 35 и 89</a:t>
          </a:r>
        </a:p>
        <a:p>
          <a:r>
            <a:rPr lang="ru-RU" sz="1000" baseline="0"/>
            <a:t>2. В ячейке </a:t>
          </a:r>
          <a:r>
            <a:rPr lang="en-US" sz="1000" baseline="0"/>
            <a:t>B2</a:t>
          </a:r>
          <a:r>
            <a:rPr lang="ru-RU" sz="1000" baseline="0"/>
            <a:t> вычислите следующее выражение: 46*10-320</a:t>
          </a:r>
        </a:p>
        <a:p>
          <a:r>
            <a:rPr lang="ru-RU" sz="1000" baseline="0"/>
            <a:t>3. В ячейке </a:t>
          </a:r>
          <a:r>
            <a:rPr lang="en-US" sz="1000" baseline="0"/>
            <a:t>B3</a:t>
          </a:r>
          <a:r>
            <a:rPr lang="ru-RU" sz="1000" baseline="0"/>
            <a:t> вычислите долг предприятия перед сотрудником Петровым:</a:t>
          </a:r>
        </a:p>
        <a:p>
          <a:r>
            <a:rPr lang="ru-RU" sz="1000" baseline="0"/>
            <a:t>- оклад Петрова составляет 60 тыс. руб.</a:t>
          </a:r>
        </a:p>
        <a:p>
          <a:r>
            <a:rPr lang="ru-RU" sz="1000" baseline="0"/>
            <a:t>- Петрову также присуждена премия в размере 10 тыс. руб.</a:t>
          </a:r>
        </a:p>
        <a:p>
          <a:r>
            <a:rPr lang="ru-RU" sz="1000" baseline="0"/>
            <a:t>- при выплате из зарплаты удерживается налог на доход 13% (от полной суммы оклада и премии)</a:t>
          </a:r>
        </a:p>
        <a:p>
          <a:r>
            <a:rPr lang="ru-RU" sz="1000" baseline="0"/>
            <a:t>- Петров уже получил аванс в размере 25 тыс. руб.</a:t>
          </a:r>
        </a:p>
        <a:p>
          <a:r>
            <a:rPr lang="ru-RU" sz="1000" baseline="0"/>
            <a:t>4. В ячейке </a:t>
          </a:r>
          <a:r>
            <a:rPr lang="en-US" sz="1000" baseline="0"/>
            <a:t>B4</a:t>
          </a:r>
          <a:r>
            <a:rPr lang="ru-RU" sz="1000" baseline="0"/>
            <a:t> вычислите выражение, указанное в ячейке </a:t>
          </a:r>
          <a:r>
            <a:rPr lang="en-US" sz="1000" baseline="0"/>
            <a:t>A4</a:t>
          </a:r>
          <a:endParaRPr lang="ru-RU" sz="1000" baseline="0"/>
        </a:p>
        <a:p>
          <a:endParaRPr lang="ru-RU" sz="1000" baseline="0"/>
        </a:p>
        <a:p>
          <a:r>
            <a:rPr lang="ru-RU" sz="1000" baseline="0"/>
            <a:t>При необходимости воспользуйтесь подсказками по правилам синтаксиса справа</a:t>
          </a:r>
        </a:p>
      </xdr:txBody>
    </xdr:sp>
    <xdr:clientData/>
  </xdr:twoCellAnchor>
  <xdr:oneCellAnchor>
    <xdr:from>
      <xdr:col>0</xdr:col>
      <xdr:colOff>15957</xdr:colOff>
      <xdr:row>3</xdr:row>
      <xdr:rowOff>15957</xdr:rowOff>
    </xdr:from>
    <xdr:ext cx="1430905" cy="6223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3D05F58-98B3-42F0-843A-C0496A0E67D9}"/>
                </a:ext>
              </a:extLst>
            </xdr:cNvPr>
            <xdr:cNvSpPr txBox="1"/>
          </xdr:nvSpPr>
          <xdr:spPr>
            <a:xfrm>
              <a:off x="15957" y="591168"/>
              <a:ext cx="1430905" cy="622350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ru-RU" sz="20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p>
                        <m:sSupPr>
                          <m:ctrlPr>
                            <a:rPr lang="ru-RU" sz="20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ru-RU" sz="20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(</m:t>
                          </m:r>
                          <m:sSup>
                            <m:sSupPr>
                              <m:ctrlPr>
                                <a:rPr lang="ru-RU" sz="20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pPr>
                            <m:e>
                              <m:r>
                                <a:rPr lang="ru-RU" sz="20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2</m:t>
                              </m:r>
                            </m:e>
                            <m:sup>
                              <m:r>
                                <a:rPr lang="ru-RU" sz="20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10</m:t>
                              </m:r>
                            </m:sup>
                          </m:sSup>
                          <m:r>
                            <a:rPr lang="ru-RU" sz="20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+</m:t>
                          </m:r>
                          <m:f>
                            <m:fPr>
                              <m:ctrlPr>
                                <a:rPr lang="ru-RU" sz="20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fPr>
                            <m:num>
                              <m:r>
                                <a:rPr lang="ru-RU" sz="20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347</m:t>
                              </m:r>
                            </m:num>
                            <m:den>
                              <m:r>
                                <a:rPr lang="ru-RU" sz="20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365</m:t>
                              </m:r>
                            </m:den>
                          </m:f>
                          <m:r>
                            <a:rPr lang="ru-RU" sz="20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)</m:t>
                          </m:r>
                        </m:e>
                        <m:sup>
                          <m:f>
                            <m:fPr>
                              <m:type m:val="skw"/>
                              <m:ctrlPr>
                                <a:rPr lang="ru-RU" sz="2000" b="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ru-RU" sz="20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num>
                            <m:den>
                              <m:r>
                                <a:rPr lang="ru-RU" sz="2000" b="0" i="1">
                                  <a:latin typeface="Cambria Math" panose="02040503050406030204" pitchFamily="18" charset="0"/>
                                </a:rPr>
                                <m:t>2+1</m:t>
                              </m:r>
                            </m:den>
                          </m:f>
                        </m:sup>
                      </m:sSup>
                    </m:num>
                    <m:den>
                      <m:sSup>
                        <m:sSupPr>
                          <m:ctrlPr>
                            <a:rPr lang="ru-RU" sz="20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ru-RU" sz="20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(1+5%)</m:t>
                          </m:r>
                        </m:e>
                        <m:sup>
                          <m:r>
                            <a:rPr lang="ru-RU" sz="2000" b="0" i="1">
                              <a:latin typeface="Cambria Math" panose="02040503050406030204" pitchFamily="18" charset="0"/>
                            </a:rPr>
                            <m:t>5</m:t>
                          </m:r>
                        </m:sup>
                      </m:sSup>
                    </m:den>
                  </m:f>
                </m:oMath>
              </a14:m>
              <a:r>
                <a:rPr lang="ru-RU" sz="2000"/>
                <a:t>=</a:t>
              </a: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3D05F58-98B3-42F0-843A-C0496A0E67D9}"/>
                </a:ext>
              </a:extLst>
            </xdr:cNvPr>
            <xdr:cNvSpPr txBox="1"/>
          </xdr:nvSpPr>
          <xdr:spPr>
            <a:xfrm>
              <a:off x="15957" y="591168"/>
              <a:ext cx="1430905" cy="622350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2000" b="0" i="0">
                  <a:latin typeface="Cambria Math" panose="02040503050406030204" pitchFamily="18" charset="0"/>
                </a:rPr>
                <a:t>〖</a:t>
              </a:r>
              <a:r>
                <a:rPr lang="ru-RU" sz="20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(2^10+347/365)</a:t>
              </a:r>
              <a:r>
                <a:rPr lang="ru-RU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〗^(</a:t>
              </a:r>
              <a:r>
                <a:rPr lang="ru-RU" sz="2000" b="0" i="0">
                  <a:latin typeface="Cambria Math" panose="02040503050406030204" pitchFamily="18" charset="0"/>
                </a:rPr>
                <a:t>2⁄(2+1))/〖</a:t>
              </a:r>
              <a:r>
                <a:rPr lang="ru-RU" sz="20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(1+5%)</a:t>
              </a:r>
              <a:r>
                <a:rPr lang="ru-RU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ru-RU" sz="2000" b="0" i="0">
                  <a:latin typeface="Cambria Math" panose="02040503050406030204" pitchFamily="18" charset="0"/>
                </a:rPr>
                <a:t>5 </a:t>
              </a:r>
              <a:r>
                <a:rPr lang="ru-RU" sz="2000"/>
                <a:t>=</a:t>
              </a:r>
            </a:p>
          </xdr:txBody>
        </xdr:sp>
      </mc:Fallback>
    </mc:AlternateContent>
    <xdr:clientData/>
  </xdr:oneCellAnchor>
  <xdr:twoCellAnchor editAs="oneCell">
    <xdr:from>
      <xdr:col>0</xdr:col>
      <xdr:colOff>0</xdr:colOff>
      <xdr:row>9</xdr:row>
      <xdr:rowOff>0</xdr:rowOff>
    </xdr:from>
    <xdr:to>
      <xdr:col>2</xdr:col>
      <xdr:colOff>115851</xdr:colOff>
      <xdr:row>17</xdr:row>
      <xdr:rowOff>44693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77EF7D7-5DDC-4BEF-AE74-6C89FACCC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70958"/>
          <a:ext cx="2268254" cy="1578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27090</xdr:colOff>
      <xdr:row>0</xdr:row>
      <xdr:rowOff>13854</xdr:rowOff>
    </xdr:from>
    <xdr:to>
      <xdr:col>11</xdr:col>
      <xdr:colOff>6184</xdr:colOff>
      <xdr:row>20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4659704" y="13854"/>
          <a:ext cx="4098347" cy="38208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latin typeface="Roboto" panose="02000000000000000000" pitchFamily="2" charset="0"/>
              <a:ea typeface="Roboto" panose="02000000000000000000" pitchFamily="2" charset="0"/>
            </a:rPr>
            <a:t>Заполните столбец Премия</a:t>
          </a:r>
        </a:p>
        <a:p>
          <a:endParaRPr lang="ru-RU" sz="1100">
            <a:latin typeface="Roboto" panose="02000000000000000000" pitchFamily="2" charset="0"/>
            <a:ea typeface="Roboto" panose="02000000000000000000" pitchFamily="2" charset="0"/>
          </a:endParaRPr>
        </a:p>
        <a:p>
          <a:r>
            <a:rPr lang="ru-RU" sz="1100">
              <a:latin typeface="Roboto" panose="02000000000000000000" pitchFamily="2" charset="0"/>
              <a:ea typeface="Roboto" panose="02000000000000000000" pitchFamily="2" charset="0"/>
            </a:rPr>
            <a:t>(5%</a:t>
          </a:r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 от оклада)</a:t>
          </a:r>
          <a:endParaRPr lang="ru-RU" sz="1100">
            <a:latin typeface="Roboto" panose="02000000000000000000" pitchFamily="2" charset="0"/>
            <a:ea typeface="Roboto" panose="02000000000000000000" pitchFamily="2" charset="0"/>
          </a:endParaRPr>
        </a:p>
        <a:p>
          <a:endParaRPr lang="ru-RU" sz="1100">
            <a:latin typeface="Roboto" panose="02000000000000000000" pitchFamily="2" charset="0"/>
            <a:ea typeface="Roboto" panose="02000000000000000000" pitchFamily="2" charset="0"/>
          </a:endParaRPr>
        </a:p>
        <a:p>
          <a:r>
            <a:rPr lang="ru-RU" sz="1100">
              <a:latin typeface="Roboto" panose="02000000000000000000" pitchFamily="2" charset="0"/>
              <a:ea typeface="Roboto" panose="02000000000000000000" pitchFamily="2" charset="0"/>
            </a:rPr>
            <a:t>Заполните столбец Всего</a:t>
          </a:r>
        </a:p>
        <a:p>
          <a:endParaRPr lang="ru-RU" sz="1100">
            <a:latin typeface="Roboto" panose="02000000000000000000" pitchFamily="2" charset="0"/>
            <a:ea typeface="Roboto" panose="02000000000000000000" pitchFamily="2" charset="0"/>
          </a:endParaRPr>
        </a:p>
        <a:p>
          <a:r>
            <a:rPr lang="ru-RU" sz="1100">
              <a:latin typeface="Roboto" panose="02000000000000000000" pitchFamily="2" charset="0"/>
              <a:ea typeface="Roboto" panose="02000000000000000000" pitchFamily="2" charset="0"/>
            </a:rPr>
            <a:t>(Всего</a:t>
          </a:r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 = Оклад + Премия)</a:t>
          </a:r>
        </a:p>
        <a:p>
          <a:endParaRPr lang="ru-RU" sz="1100" baseline="0">
            <a:latin typeface="Roboto" panose="02000000000000000000" pitchFamily="2" charset="0"/>
            <a:ea typeface="Roboto" panose="02000000000000000000" pitchFamily="2" charset="0"/>
          </a:endParaRPr>
        </a:p>
        <a:p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Заполните столбец Всего "чистыми"</a:t>
          </a:r>
        </a:p>
        <a:p>
          <a:endParaRPr lang="ru-RU" sz="1100" baseline="0">
            <a:latin typeface="Roboto" panose="02000000000000000000" pitchFamily="2" charset="0"/>
            <a:ea typeface="Roboto" panose="02000000000000000000" pitchFamily="2" charset="0"/>
          </a:endParaRPr>
        </a:p>
        <a:p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(Всего "чистыми" = Всего * ставка налога; используйте абсолютную ссылку на </a:t>
          </a:r>
          <a:r>
            <a:rPr lang="en-US" sz="1100" baseline="0">
              <a:latin typeface="Roboto" panose="02000000000000000000" pitchFamily="2" charset="0"/>
              <a:ea typeface="Roboto" panose="02000000000000000000" pitchFamily="2" charset="0"/>
            </a:rPr>
            <a:t>B1)</a:t>
          </a:r>
          <a:endParaRPr lang="ru-RU" sz="1100" baseline="0">
            <a:latin typeface="Roboto" panose="02000000000000000000" pitchFamily="2" charset="0"/>
            <a:ea typeface="Roboto" panose="02000000000000000000" pitchFamily="2" charset="0"/>
          </a:endParaRPr>
        </a:p>
        <a:p>
          <a:endParaRPr lang="ru-RU" sz="1100" baseline="0">
            <a:latin typeface="Roboto" panose="02000000000000000000" pitchFamily="2" charset="0"/>
            <a:ea typeface="Roboto" panose="02000000000000000000" pitchFamily="2" charset="0"/>
          </a:endParaRPr>
        </a:p>
        <a:p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Переключитесь в Стиль ссылок </a:t>
          </a:r>
          <a:r>
            <a:rPr lang="en-US" sz="1100" baseline="0">
              <a:latin typeface="Roboto" panose="02000000000000000000" pitchFamily="2" charset="0"/>
              <a:ea typeface="Roboto" panose="02000000000000000000" pitchFamily="2" charset="0"/>
            </a:rPr>
            <a:t>R1C1</a:t>
          </a:r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 и изучите введённые формулы</a:t>
          </a:r>
        </a:p>
        <a:p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(Файл/Параметры/Формулы/Стиль ссылок </a:t>
          </a:r>
          <a:r>
            <a:rPr lang="en-US" sz="1100" baseline="0">
              <a:latin typeface="Roboto" panose="02000000000000000000" pitchFamily="2" charset="0"/>
              <a:ea typeface="Roboto" panose="02000000000000000000" pitchFamily="2" charset="0"/>
            </a:rPr>
            <a:t>R1C1)</a:t>
          </a:r>
          <a:endParaRPr lang="ru-RU" sz="1100" baseline="0">
            <a:latin typeface="Roboto" panose="02000000000000000000" pitchFamily="2" charset="0"/>
            <a:ea typeface="Roboto" panose="02000000000000000000" pitchFamily="2" charset="0"/>
          </a:endParaRPr>
        </a:p>
        <a:p>
          <a:endParaRPr lang="ru-RU" sz="1100"/>
        </a:p>
      </xdr:txBody>
    </xdr:sp>
    <xdr:clientData/>
  </xdr:twoCellAnchor>
  <xdr:twoCellAnchor editAs="oneCell">
    <xdr:from>
      <xdr:col>0</xdr:col>
      <xdr:colOff>0</xdr:colOff>
      <xdr:row>12</xdr:row>
      <xdr:rowOff>55665</xdr:rowOff>
    </xdr:from>
    <xdr:to>
      <xdr:col>2</xdr:col>
      <xdr:colOff>115851</xdr:colOff>
      <xdr:row>20</xdr:row>
      <xdr:rowOff>100358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C2E9BED-F87C-4C01-AC8A-5AF05C1B0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6509"/>
          <a:ext cx="2070332" cy="1578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104775</xdr:colOff>
      <xdr:row>2</xdr:row>
      <xdr:rowOff>123825</xdr:rowOff>
    </xdr:from>
    <xdr:to>
      <xdr:col>25</xdr:col>
      <xdr:colOff>190500</xdr:colOff>
      <xdr:row>10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E9BFC97-2DED-475E-B37D-9BD75671BE3F}"/>
            </a:ext>
          </a:extLst>
        </xdr:cNvPr>
        <xdr:cNvSpPr txBox="1"/>
      </xdr:nvSpPr>
      <xdr:spPr>
        <a:xfrm>
          <a:off x="11687175" y="504825"/>
          <a:ext cx="3743325" cy="1504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latin typeface="Roboto" panose="02000000000000000000" pitchFamily="2" charset="0"/>
              <a:ea typeface="Roboto" panose="02000000000000000000" pitchFamily="2" charset="0"/>
            </a:rPr>
            <a:t>Скопируйте</a:t>
          </a:r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 числа от 1 до 12 в </a:t>
          </a:r>
          <a:r>
            <a:rPr lang="en-US" sz="1100" baseline="0">
              <a:latin typeface="Roboto" panose="02000000000000000000" pitchFamily="2" charset="0"/>
              <a:ea typeface="Roboto" panose="02000000000000000000" pitchFamily="2" charset="0"/>
            </a:rPr>
            <a:t>A2:A13</a:t>
          </a:r>
          <a:endParaRPr lang="ru-RU" sz="1100">
            <a:latin typeface="Roboto" panose="02000000000000000000" pitchFamily="2" charset="0"/>
            <a:ea typeface="Roboto" panose="02000000000000000000" pitchFamily="2" charset="0"/>
          </a:endParaRPr>
        </a:p>
        <a:p>
          <a:r>
            <a:rPr lang="ru-RU" sz="1100">
              <a:latin typeface="Roboto" panose="02000000000000000000" pitchFamily="2" charset="0"/>
              <a:ea typeface="Roboto" panose="02000000000000000000" pitchFamily="2" charset="0"/>
            </a:rPr>
            <a:t>Заполните таблицу умножения от 1 до 12 одной формулой</a:t>
          </a:r>
        </a:p>
      </xdr:txBody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2</xdr:col>
      <xdr:colOff>115851</xdr:colOff>
      <xdr:row>21</xdr:row>
      <xdr:rowOff>44693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A81C6B24-07FC-488F-B889-1C567366C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92581"/>
          <a:ext cx="1488935" cy="1578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676275</xdr:colOff>
      <xdr:row>0</xdr:row>
      <xdr:rowOff>0</xdr:rowOff>
    </xdr:from>
    <xdr:to>
      <xdr:col>17</xdr:col>
      <xdr:colOff>0</xdr:colOff>
      <xdr:row>31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513BEB0-68AA-4B90-B64D-E0E1D1DBED88}"/>
            </a:ext>
          </a:extLst>
        </xdr:cNvPr>
        <xdr:cNvSpPr txBox="1"/>
      </xdr:nvSpPr>
      <xdr:spPr>
        <a:xfrm>
          <a:off x="8124825" y="0"/>
          <a:ext cx="6181725" cy="5905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1. Задайте</a:t>
          </a:r>
          <a:r>
            <a:rPr lang="ru-RU" sz="1100" baseline="0"/>
            <a:t> именованные диапазоны через окно имени:</a:t>
          </a:r>
        </a:p>
        <a:p>
          <a:r>
            <a:rPr lang="ru-RU" sz="1100"/>
            <a:t>Ячейку</a:t>
          </a:r>
          <a:r>
            <a:rPr lang="ru-RU" sz="1100" baseline="0"/>
            <a:t> </a:t>
          </a:r>
          <a:r>
            <a:rPr lang="en-US" sz="1100" baseline="0"/>
            <a:t>B1</a:t>
          </a:r>
          <a:r>
            <a:rPr lang="ru-RU" sz="1100" baseline="0"/>
            <a:t> назовите </a:t>
          </a:r>
          <a:r>
            <a:rPr lang="ru-RU" sz="1100" i="1" baseline="0"/>
            <a:t>НДФЛ</a:t>
          </a:r>
        </a:p>
        <a:p>
          <a:r>
            <a:rPr lang="ru-RU" sz="1100" baseline="0"/>
            <a:t>Ячейку </a:t>
          </a:r>
          <a:r>
            <a:rPr lang="en-US" sz="1100" baseline="0"/>
            <a:t>B2</a:t>
          </a:r>
          <a:r>
            <a:rPr lang="ru-RU" sz="1100" baseline="0"/>
            <a:t> назовите </a:t>
          </a:r>
          <a:r>
            <a:rPr lang="ru-RU" sz="1100" i="1" baseline="0"/>
            <a:t>Премия</a:t>
          </a:r>
          <a:endParaRPr lang="en-US" sz="1100" i="1" baseline="0"/>
        </a:p>
        <a:p>
          <a:endParaRPr lang="ru-RU" sz="1100" i="1" baseline="0"/>
        </a:p>
        <a:p>
          <a:r>
            <a:rPr lang="ru-RU" sz="1100" baseline="0"/>
            <a:t>2. Выберите ячейку </a:t>
          </a:r>
          <a:r>
            <a:rPr lang="en-US" sz="1100" baseline="0"/>
            <a:t>C1</a:t>
          </a:r>
          <a:r>
            <a:rPr lang="ru-RU" sz="1100" baseline="0"/>
            <a:t>, затем через Формулы/Диспетчер имен задайте именованный диапазон </a:t>
          </a:r>
          <a:r>
            <a:rPr lang="ru-RU" sz="1100" i="1" baseline="0"/>
            <a:t>Оклад</a:t>
          </a:r>
          <a:r>
            <a:rPr lang="ru-RU" sz="1100" i="0" baseline="0"/>
            <a:t> (используйте смешанную ссылку на ячейку в той же строке в столбце </a:t>
          </a:r>
          <a:r>
            <a:rPr lang="en-US" sz="1100" i="0" baseline="0"/>
            <a:t>B</a:t>
          </a:r>
          <a:r>
            <a:rPr lang="ru-RU" sz="1100" i="0" baseline="0"/>
            <a:t>)</a:t>
          </a:r>
          <a:endParaRPr lang="en-US" sz="1100" i="0" baseline="0"/>
        </a:p>
        <a:p>
          <a:endParaRPr lang="ru-RU" sz="1100" i="0" baseline="0"/>
        </a:p>
        <a:p>
          <a:r>
            <a:rPr lang="ru-RU" sz="1100" i="0" baseline="0"/>
            <a:t>3. Заполните столбец </a:t>
          </a:r>
          <a:r>
            <a:rPr lang="en-US" sz="1100" i="0" baseline="0"/>
            <a:t>C</a:t>
          </a:r>
          <a:r>
            <a:rPr lang="ru-RU" sz="1100" i="0" baseline="0"/>
            <a:t> при помощи формулы, используя именованные диапазоны</a:t>
          </a:r>
        </a:p>
        <a:p>
          <a:endParaRPr lang="en-US" sz="1100" i="0" baseline="0"/>
        </a:p>
        <a:p>
          <a:r>
            <a:rPr lang="ru-RU" sz="1100" i="0" baseline="0"/>
            <a:t>4</a:t>
          </a:r>
          <a:r>
            <a:rPr lang="en-US" sz="1100" i="0" baseline="0"/>
            <a:t>. </a:t>
          </a:r>
          <a:r>
            <a:rPr lang="ru-RU" sz="1100" i="0" baseline="0"/>
            <a:t>Выделите диапазон </a:t>
          </a:r>
          <a:r>
            <a:rPr lang="en-US" sz="1100" i="0" baseline="0"/>
            <a:t>E3:G12</a:t>
          </a:r>
          <a:r>
            <a:rPr lang="ru-RU" sz="1100" i="0" baseline="0"/>
            <a:t> и преобразуйте в "умную" таблицу (Главная/Форматировать как таблицу; или Вставка/Таблица; или </a:t>
          </a:r>
          <a:r>
            <a:rPr lang="en-US" sz="1100" i="0" baseline="0"/>
            <a:t>Control+T)</a:t>
          </a:r>
          <a:endParaRPr lang="ru-RU" sz="1100" i="0" baseline="0"/>
        </a:p>
        <a:p>
          <a:endParaRPr lang="ru-RU" sz="1100" i="0" baseline="0"/>
        </a:p>
        <a:p>
          <a:r>
            <a:rPr lang="ru-RU" sz="1100" i="0" baseline="0"/>
            <a:t>5. Введите соответствующую формулу в ячейку </a:t>
          </a:r>
          <a:r>
            <a:rPr lang="en-US" sz="1100" i="0" baseline="0"/>
            <a:t>G4</a:t>
          </a:r>
          <a:endParaRPr lang="ru-RU" sz="1100"/>
        </a:p>
      </xdr:txBody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2</xdr:col>
      <xdr:colOff>115851</xdr:colOff>
      <xdr:row>20</xdr:row>
      <xdr:rowOff>44693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3358434-28E4-4EEB-89E2-8742D3B2D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00844"/>
          <a:ext cx="1612637" cy="1578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13855</xdr:colOff>
      <xdr:row>1</xdr:row>
      <xdr:rowOff>0</xdr:rowOff>
    </xdr:from>
    <xdr:to>
      <xdr:col>12</xdr:col>
      <xdr:colOff>4330</xdr:colOff>
      <xdr:row>19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303BFF5-47F5-4A52-B3AF-74CC281C1E03}"/>
            </a:ext>
          </a:extLst>
        </xdr:cNvPr>
        <xdr:cNvSpPr txBox="1"/>
      </xdr:nvSpPr>
      <xdr:spPr>
        <a:xfrm>
          <a:off x="6904017" y="0"/>
          <a:ext cx="3423186" cy="35560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latin typeface="Roboto" panose="02000000000000000000" pitchFamily="2" charset="0"/>
              <a:ea typeface="Roboto" panose="02000000000000000000" pitchFamily="2" charset="0"/>
            </a:rPr>
            <a:t>Определите средний, минимальный, максимальный оклад</a:t>
          </a:r>
        </a:p>
        <a:p>
          <a:endParaRPr lang="ru-RU" sz="1100" baseline="0">
            <a:latin typeface="Roboto" panose="02000000000000000000" pitchFamily="2" charset="0"/>
            <a:ea typeface="Roboto" panose="02000000000000000000" pitchFamily="2" charset="0"/>
          </a:endParaRPr>
        </a:p>
        <a:p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Определите суммарный Факт</a:t>
          </a:r>
        </a:p>
        <a:p>
          <a:endParaRPr lang="ru-RU" sz="1100" baseline="0">
            <a:latin typeface="Roboto" panose="02000000000000000000" pitchFamily="2" charset="0"/>
            <a:ea typeface="Roboto" panose="02000000000000000000" pitchFamily="2" charset="0"/>
          </a:endParaRPr>
        </a:p>
        <a:p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Определите Премию, округл. (до целого рубля)</a:t>
          </a:r>
        </a:p>
        <a:p>
          <a:endParaRPr lang="ru-RU" sz="1100" baseline="0">
            <a:latin typeface="Roboto" panose="02000000000000000000" pitchFamily="2" charset="0"/>
            <a:ea typeface="Roboto" panose="02000000000000000000" pitchFamily="2" charset="0"/>
          </a:endParaRPr>
        </a:p>
        <a:p>
          <a:endParaRPr lang="ru-RU" sz="1100" baseline="0">
            <a:latin typeface="Roboto" panose="02000000000000000000" pitchFamily="2" charset="0"/>
            <a:ea typeface="Roboto" panose="02000000000000000000" pitchFamily="2" charset="0"/>
          </a:endParaRPr>
        </a:p>
        <a:p>
          <a:endParaRPr lang="ru-RU" sz="1100" baseline="0">
            <a:latin typeface="Roboto" panose="02000000000000000000" pitchFamily="2" charset="0"/>
            <a:ea typeface="Roboto" panose="02000000000000000000" pitchFamily="2" charset="0"/>
          </a:endParaRPr>
        </a:p>
        <a:p>
          <a:endParaRPr lang="ru-RU" sz="1100" baseline="0">
            <a:latin typeface="Roboto" panose="02000000000000000000" pitchFamily="2" charset="0"/>
            <a:ea typeface="Roboto" panose="02000000000000000000" pitchFamily="2" charset="0"/>
          </a:endParaRPr>
        </a:p>
        <a:p>
          <a:endParaRPr lang="ru-RU" sz="1100">
            <a:latin typeface="Roboto" panose="02000000000000000000" pitchFamily="2" charset="0"/>
            <a:ea typeface="Roboto" panose="02000000000000000000" pitchFamily="2" charset="0"/>
          </a:endParaRPr>
        </a:p>
      </xdr:txBody>
    </xdr:sp>
    <xdr:clientData/>
  </xdr:twoCellAnchor>
  <xdr:twoCellAnchor>
    <xdr:from>
      <xdr:col>7</xdr:col>
      <xdr:colOff>14654</xdr:colOff>
      <xdr:row>22</xdr:row>
      <xdr:rowOff>1</xdr:rowOff>
    </xdr:from>
    <xdr:to>
      <xdr:col>11</xdr:col>
      <xdr:colOff>652096</xdr:colOff>
      <xdr:row>28</xdr:row>
      <xdr:rowOff>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1A7EB38-84A2-4763-A5A5-ACCF16EE73F9}"/>
            </a:ext>
          </a:extLst>
        </xdr:cNvPr>
        <xdr:cNvSpPr txBox="1"/>
      </xdr:nvSpPr>
      <xdr:spPr>
        <a:xfrm>
          <a:off x="7663962" y="4000501"/>
          <a:ext cx="3392365" cy="114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Используйте функцию БС, чтобы рассчитать</a:t>
          </a:r>
          <a:r>
            <a:rPr lang="ru-RU" sz="1100" baseline="0"/>
            <a:t> сумму на вкладе в конце срока</a:t>
          </a:r>
          <a:endParaRPr lang="ru-RU" sz="1100"/>
        </a:p>
      </xdr:txBody>
    </xdr:sp>
    <xdr:clientData/>
  </xdr:twoCellAnchor>
  <xdr:twoCellAnchor>
    <xdr:from>
      <xdr:col>7</xdr:col>
      <xdr:colOff>0</xdr:colOff>
      <xdr:row>30</xdr:row>
      <xdr:rowOff>0</xdr:rowOff>
    </xdr:from>
    <xdr:to>
      <xdr:col>11</xdr:col>
      <xdr:colOff>637442</xdr:colOff>
      <xdr:row>36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39E5D59-10B3-4B65-A2D1-B23083FE185F}"/>
            </a:ext>
          </a:extLst>
        </xdr:cNvPr>
        <xdr:cNvSpPr txBox="1"/>
      </xdr:nvSpPr>
      <xdr:spPr>
        <a:xfrm>
          <a:off x="7649308" y="5524500"/>
          <a:ext cx="3392365" cy="114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Используйте функцию ВРЕМЯ, чтобы рассчитать время окончания заезда</a:t>
          </a:r>
        </a:p>
      </xdr:txBody>
    </xdr:sp>
    <xdr:clientData/>
  </xdr:twoCellAnchor>
  <xdr:twoCellAnchor>
    <xdr:from>
      <xdr:col>7</xdr:col>
      <xdr:colOff>0</xdr:colOff>
      <xdr:row>39</xdr:row>
      <xdr:rowOff>0</xdr:rowOff>
    </xdr:from>
    <xdr:to>
      <xdr:col>11</xdr:col>
      <xdr:colOff>666750</xdr:colOff>
      <xdr:row>45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8B577FC-9BEC-48D8-A57B-7F84FC4B5DAE}"/>
            </a:ext>
          </a:extLst>
        </xdr:cNvPr>
        <xdr:cNvSpPr txBox="1"/>
      </xdr:nvSpPr>
      <xdr:spPr>
        <a:xfrm>
          <a:off x="7649308" y="7239000"/>
          <a:ext cx="3421673" cy="114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Найдите</a:t>
          </a:r>
          <a:r>
            <a:rPr lang="ru-RU" sz="1100" baseline="0"/>
            <a:t> квадратный корень из 1764, используя функцию КОРЕНЬ</a:t>
          </a:r>
          <a:endParaRPr lang="ru-RU" sz="1100"/>
        </a:p>
      </xdr:txBody>
    </xdr:sp>
    <xdr:clientData/>
  </xdr:twoCellAnchor>
  <xdr:twoCellAnchor>
    <xdr:from>
      <xdr:col>7</xdr:col>
      <xdr:colOff>0</xdr:colOff>
      <xdr:row>46</xdr:row>
      <xdr:rowOff>0</xdr:rowOff>
    </xdr:from>
    <xdr:to>
      <xdr:col>11</xdr:col>
      <xdr:colOff>666750</xdr:colOff>
      <xdr:row>52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1BD3BC6-6DFD-4457-9579-49B76C416E15}"/>
            </a:ext>
          </a:extLst>
        </xdr:cNvPr>
        <xdr:cNvSpPr txBox="1"/>
      </xdr:nvSpPr>
      <xdr:spPr>
        <a:xfrm>
          <a:off x="7649308" y="8572500"/>
          <a:ext cx="3421673" cy="114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Используйте функцию МЕДИАНА, чтобы</a:t>
          </a:r>
          <a:r>
            <a:rPr lang="ru-RU" sz="1100" baseline="0"/>
            <a:t> найти зарплату, меньше которой 50% окладов </a:t>
          </a:r>
          <a:endParaRPr lang="ru-RU" sz="1100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11</xdr:col>
      <xdr:colOff>666750</xdr:colOff>
      <xdr:row>62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C747DB8-1021-4D7B-8CAD-10501E314C26}"/>
            </a:ext>
          </a:extLst>
        </xdr:cNvPr>
        <xdr:cNvSpPr txBox="1"/>
      </xdr:nvSpPr>
      <xdr:spPr>
        <a:xfrm>
          <a:off x="7649308" y="10858500"/>
          <a:ext cx="3421673" cy="114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Используйте функцию ВПР, чтобы перенести данные о</a:t>
          </a:r>
          <a:r>
            <a:rPr lang="ru-RU" sz="1100" baseline="0"/>
            <a:t> Продажах из нижней таблицы в верхнюю</a:t>
          </a:r>
          <a:endParaRPr lang="ru-RU" sz="1100"/>
        </a:p>
      </xdr:txBody>
    </xdr:sp>
    <xdr:clientData/>
  </xdr:twoCellAnchor>
  <xdr:twoCellAnchor>
    <xdr:from>
      <xdr:col>7</xdr:col>
      <xdr:colOff>0</xdr:colOff>
      <xdr:row>76</xdr:row>
      <xdr:rowOff>0</xdr:rowOff>
    </xdr:from>
    <xdr:to>
      <xdr:col>11</xdr:col>
      <xdr:colOff>666750</xdr:colOff>
      <xdr:row>80</xdr:row>
      <xdr:rowOff>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E690955-7D9E-4329-9949-63C90572D087}"/>
            </a:ext>
          </a:extLst>
        </xdr:cNvPr>
        <xdr:cNvSpPr txBox="1"/>
      </xdr:nvSpPr>
      <xdr:spPr>
        <a:xfrm>
          <a:off x="7649308" y="14287500"/>
          <a:ext cx="3421673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Используйте функцию БСЧЁТ,</a:t>
          </a:r>
          <a:r>
            <a:rPr lang="ru-RU" sz="1100" baseline="0"/>
            <a:t> чтобы определить количество сотрудников, Продажи которых превосходят </a:t>
          </a:r>
          <a:r>
            <a:rPr lang="en-US" sz="1100" baseline="0"/>
            <a:t>150000</a:t>
          </a:r>
          <a:endParaRPr lang="ru-RU" sz="1100"/>
        </a:p>
      </xdr:txBody>
    </xdr:sp>
    <xdr:clientData/>
  </xdr:twoCellAnchor>
  <xdr:twoCellAnchor>
    <xdr:from>
      <xdr:col>7</xdr:col>
      <xdr:colOff>0</xdr:colOff>
      <xdr:row>88</xdr:row>
      <xdr:rowOff>0</xdr:rowOff>
    </xdr:from>
    <xdr:to>
      <xdr:col>11</xdr:col>
      <xdr:colOff>666750</xdr:colOff>
      <xdr:row>92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5EC48E6-064F-49AE-839E-DAA3AB10D64E}"/>
            </a:ext>
          </a:extLst>
        </xdr:cNvPr>
        <xdr:cNvSpPr txBox="1"/>
      </xdr:nvSpPr>
      <xdr:spPr>
        <a:xfrm>
          <a:off x="7649308" y="16573500"/>
          <a:ext cx="3421673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Используйте функцию ЛЕВСИМВ,</a:t>
          </a:r>
          <a:r>
            <a:rPr lang="ru-RU" sz="1100" baseline="0"/>
            <a:t> чтобы извлечь из номера Акта номер Договора (первые 7 символов)</a:t>
          </a:r>
          <a:endParaRPr lang="ru-RU" sz="1100"/>
        </a:p>
      </xdr:txBody>
    </xdr:sp>
    <xdr:clientData/>
  </xdr:twoCellAnchor>
  <xdr:twoCellAnchor>
    <xdr:from>
      <xdr:col>7</xdr:col>
      <xdr:colOff>0</xdr:colOff>
      <xdr:row>94</xdr:row>
      <xdr:rowOff>0</xdr:rowOff>
    </xdr:from>
    <xdr:to>
      <xdr:col>11</xdr:col>
      <xdr:colOff>666750</xdr:colOff>
      <xdr:row>101</xdr:row>
      <xdr:rowOff>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CF25C43-FC6A-4003-8D54-BA5BB1BF8090}"/>
            </a:ext>
          </a:extLst>
        </xdr:cNvPr>
        <xdr:cNvSpPr txBox="1"/>
      </xdr:nvSpPr>
      <xdr:spPr>
        <a:xfrm>
          <a:off x="7649308" y="17716500"/>
          <a:ext cx="3421673" cy="1333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Используйте функцию ЕСЛИ,</a:t>
          </a:r>
          <a:r>
            <a:rPr lang="ru-RU" sz="1100" baseline="0"/>
            <a:t> чтобы Премия в размере процента от оклада присуждалась только тем сотрудникам, у которых Выполнение </a:t>
          </a:r>
          <a:r>
            <a:rPr lang="en-US" sz="1100" baseline="0"/>
            <a:t>&gt;=1</a:t>
          </a:r>
          <a:endParaRPr lang="ru-RU" sz="1100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11</xdr:col>
      <xdr:colOff>666750</xdr:colOff>
      <xdr:row>111</xdr:row>
      <xdr:rowOff>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90A3332-2043-44F6-B337-50B6C7D90383}"/>
            </a:ext>
          </a:extLst>
        </xdr:cNvPr>
        <xdr:cNvSpPr txBox="1"/>
      </xdr:nvSpPr>
      <xdr:spPr>
        <a:xfrm>
          <a:off x="7649308" y="20002500"/>
          <a:ext cx="3421673" cy="1333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Используйте проверочные</a:t>
          </a:r>
          <a:r>
            <a:rPr lang="ru-RU" sz="1100" baseline="0"/>
            <a:t> функции ЕТЕКСТ, ЕЧИСЛО, ЕОШИБКА, чтобы проверить тип данных</a:t>
          </a:r>
          <a:endParaRPr lang="ru-RU" sz="1100"/>
        </a:p>
      </xdr:txBody>
    </xdr:sp>
    <xdr:clientData/>
  </xdr:twoCellAnchor>
  <xdr:twoCellAnchor editAs="oneCell">
    <xdr:from>
      <xdr:col>7</xdr:col>
      <xdr:colOff>586154</xdr:colOff>
      <xdr:row>9</xdr:row>
      <xdr:rowOff>124557</xdr:rowOff>
    </xdr:from>
    <xdr:to>
      <xdr:col>11</xdr:col>
      <xdr:colOff>672697</xdr:colOff>
      <xdr:row>18</xdr:row>
      <xdr:rowOff>189994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4DB19A1-3CFB-4132-8055-6517F1003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35462" y="1839057"/>
          <a:ext cx="2841466" cy="17799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Excel.Genie Theme">
  <a:themeElements>
    <a:clrScheme name="Excel.Genie Theme_Color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38B6FF"/>
      </a:accent1>
      <a:accent2>
        <a:srgbClr val="FF5757"/>
      </a:accent2>
      <a:accent3>
        <a:srgbClr val="FFDE59"/>
      </a:accent3>
      <a:accent4>
        <a:srgbClr val="0F644D"/>
      </a:accent4>
      <a:accent5>
        <a:srgbClr val="30E0B0"/>
      </a:accent5>
      <a:accent6>
        <a:srgbClr val="954F72"/>
      </a:accent6>
      <a:hlink>
        <a:srgbClr val="0563C1"/>
      </a:hlink>
      <a:folHlink>
        <a:srgbClr val="954F72"/>
      </a:folHlink>
    </a:clrScheme>
    <a:fontScheme name="Excel.Genie Theme_Fonts">
      <a:majorFont>
        <a:latin typeface="Monyserrat classic"/>
        <a:ea typeface=""/>
        <a:cs typeface=""/>
      </a:majorFont>
      <a:minorFont>
        <a:latin typeface="Roboto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support.microsoft.com/ru-ru/office/%D0%B8%D0%BD%D0%B6%D0%B5%D0%BD%D0%B5%D1%80%D0%BD%D1%8B%D0%B5-%D1%84%D1%83%D0%BD%D0%BA%D1%86%D0%B8%D0%B8-%D1%81%D0%BF%D1%80%D0%B0%D0%B2%D0%BA%D0%B0-9e99a6b0-1f32-4b25-be6c-c1d1c395e7de" TargetMode="External"/><Relationship Id="rId2" Type="http://schemas.openxmlformats.org/officeDocument/2006/relationships/hyperlink" Target="https://support.microsoft.com/ru-ru/office/%D1%81%D0%BE%D0%B7%D0%B4%D0%B0%D0%BD%D0%B8%D0%B5-%D0%BF%D0%BE%D0%BB%D1%8C%D0%B7%D0%BE%D0%B2%D0%B0%D1%82%D0%B5%D0%BB%D1%8C%D1%81%D0%BA%D0%B8%D1%85-%D1%84%D1%83%D0%BD%D0%BA%D1%86%D0%B8%D0%B9-%D0%B2-excel-2f06c10b-3622-40d6-a1b2-b6748ae8231f" TargetMode="External"/><Relationship Id="rId1" Type="http://schemas.openxmlformats.org/officeDocument/2006/relationships/hyperlink" Target="https://support.microsoft.com/ru-ru/office/%D0%BA%D0%BE%D0%B4%D0%B8%D1%80-url-%D1%84%D1%83%D0%BD%D0%BA%D1%86%D0%B8%D1%8F-%D0%BA%D0%BE%D0%B4%D0%B8%D1%80-url-07c7fb90-7c60-4bff-8687-fac50fe33d0e" TargetMode="External"/><Relationship Id="rId6" Type="http://schemas.openxmlformats.org/officeDocument/2006/relationships/drawing" Target="../drawings/drawing6.xml"/><Relationship Id="rId5" Type="http://schemas.openxmlformats.org/officeDocument/2006/relationships/hyperlink" Target="https://support.microsoft.com/ru-ru/office/%D1%84%D1%83%D0%BD%D0%BA%D1%86%D0%B8%D0%B8-%D1%81%D0%BE%D0%B2%D0%BC%D0%B5%D1%81%D1%82%D0%B8%D0%BC%D0%BE%D1%81%D1%82%D0%B8-%D1%81%D0%BF%D1%80%D0%B0%D0%B2%D0%BA%D0%B0-3d03e2d6-8559-4962-b037-58ac27efa2ad" TargetMode="External"/><Relationship Id="rId4" Type="http://schemas.openxmlformats.org/officeDocument/2006/relationships/hyperlink" Target="https://support.microsoft.com/ru-ru/office/%D1%84%D1%83%D0%BD%D0%BA%D1%86%D0%B8%D0%B8-%D0%B4%D0%BB%D1%8F-%D1%80%D0%B0%D0%B1%D0%BE%D1%82%D1%8B-%D1%81-%D0%BA%D1%83%D0%B1%D0%B0%D0%BC%D0%B8-%D1%81%D0%BF%D1%80%D0%B0%D0%B2%D0%BA%D0%B0-2378132b-d3f2-4af1-896d-48a9ee840eb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Q31"/>
  <sheetViews>
    <sheetView zoomScale="85" zoomScaleNormal="85" workbookViewId="0"/>
  </sheetViews>
  <sheetFormatPr defaultColWidth="0" defaultRowHeight="15" zeroHeight="1" x14ac:dyDescent="0.25"/>
  <cols>
    <col min="1" max="2" width="9" customWidth="1"/>
    <col min="3" max="17" width="8" customWidth="1"/>
    <col min="18" max="16384" width="8" hidden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30E50-6583-4880-BB90-CE58CB896ADC}">
  <sheetPr codeName="Лист2"/>
  <dimension ref="A1:B4"/>
  <sheetViews>
    <sheetView tabSelected="1" zoomScale="154" zoomScaleNormal="154" workbookViewId="0">
      <selection activeCell="E12" sqref="E12"/>
    </sheetView>
  </sheetViews>
  <sheetFormatPr defaultRowHeight="15" x14ac:dyDescent="0.25"/>
  <cols>
    <col min="1" max="1" width="19.25" bestFit="1" customWidth="1"/>
  </cols>
  <sheetData>
    <row r="1" spans="1:2" x14ac:dyDescent="0.25">
      <c r="A1" t="s">
        <v>19</v>
      </c>
      <c r="B1" s="16"/>
    </row>
    <row r="2" spans="1:2" x14ac:dyDescent="0.25">
      <c r="A2" t="s">
        <v>20</v>
      </c>
      <c r="B2" s="16"/>
    </row>
    <row r="3" spans="1:2" x14ac:dyDescent="0.25">
      <c r="A3" t="s">
        <v>21</v>
      </c>
      <c r="B3" s="16"/>
    </row>
    <row r="4" spans="1:2" ht="50.25" customHeight="1" x14ac:dyDescent="0.25">
      <c r="B4" s="1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10"/>
  <dimension ref="A1:E12"/>
  <sheetViews>
    <sheetView zoomScale="154" zoomScaleNormal="154" workbookViewId="0">
      <pane xSplit="5" topLeftCell="F1" activePane="topRight" state="frozen"/>
      <selection pane="topRight" activeCell="A13" sqref="A13"/>
    </sheetView>
  </sheetViews>
  <sheetFormatPr defaultRowHeight="15" x14ac:dyDescent="0.25"/>
  <cols>
    <col min="1" max="1" width="11.375" customWidth="1"/>
    <col min="2" max="2" width="14.25" customWidth="1"/>
    <col min="4" max="4" width="9.5" customWidth="1"/>
    <col min="5" max="5" width="16.625" customWidth="1"/>
  </cols>
  <sheetData>
    <row r="1" spans="1:5" x14ac:dyDescent="0.25">
      <c r="A1" t="s">
        <v>4</v>
      </c>
      <c r="B1" s="2">
        <v>0.13</v>
      </c>
    </row>
    <row r="3" spans="1:5" x14ac:dyDescent="0.25">
      <c r="A3" s="1" t="s">
        <v>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x14ac:dyDescent="0.25">
      <c r="A4" t="s">
        <v>1</v>
      </c>
      <c r="B4" s="3">
        <v>10000</v>
      </c>
      <c r="C4" s="18"/>
      <c r="D4" s="18"/>
      <c r="E4" s="18"/>
    </row>
    <row r="5" spans="1:5" x14ac:dyDescent="0.25">
      <c r="A5" t="s">
        <v>2</v>
      </c>
      <c r="B5" s="3">
        <v>60000</v>
      </c>
      <c r="C5" s="18"/>
      <c r="D5" s="18"/>
      <c r="E5" s="18"/>
    </row>
    <row r="6" spans="1:5" x14ac:dyDescent="0.25">
      <c r="A6" t="s">
        <v>3</v>
      </c>
      <c r="B6" s="3">
        <v>30000</v>
      </c>
      <c r="C6" s="18"/>
      <c r="D6" s="18"/>
      <c r="E6" s="18"/>
    </row>
    <row r="7" spans="1:5" x14ac:dyDescent="0.25">
      <c r="A7" t="s">
        <v>5</v>
      </c>
      <c r="B7" s="3">
        <v>35000</v>
      </c>
      <c r="C7" s="18"/>
      <c r="D7" s="18"/>
      <c r="E7" s="18"/>
    </row>
    <row r="8" spans="1:5" x14ac:dyDescent="0.25">
      <c r="A8" t="s">
        <v>6</v>
      </c>
      <c r="B8" s="3">
        <v>20000</v>
      </c>
      <c r="C8" s="18"/>
      <c r="D8" s="18"/>
      <c r="E8" s="18"/>
    </row>
    <row r="9" spans="1:5" x14ac:dyDescent="0.25">
      <c r="A9" t="s">
        <v>7</v>
      </c>
      <c r="B9" s="3">
        <v>70000</v>
      </c>
      <c r="C9" s="18"/>
      <c r="D9" s="18"/>
      <c r="E9" s="18"/>
    </row>
    <row r="10" spans="1:5" x14ac:dyDescent="0.25">
      <c r="A10" t="s">
        <v>8</v>
      </c>
      <c r="B10" s="3">
        <v>20000</v>
      </c>
      <c r="C10" s="18"/>
      <c r="D10" s="18"/>
      <c r="E10" s="18"/>
    </row>
    <row r="11" spans="1:5" x14ac:dyDescent="0.25">
      <c r="A11" t="s">
        <v>9</v>
      </c>
      <c r="B11" s="3">
        <v>15000</v>
      </c>
      <c r="C11" s="18"/>
      <c r="D11" s="18"/>
      <c r="E11" s="18"/>
    </row>
    <row r="12" spans="1:5" x14ac:dyDescent="0.25">
      <c r="A12" t="s">
        <v>10</v>
      </c>
      <c r="B12" s="3">
        <v>45000</v>
      </c>
      <c r="C12" s="18"/>
      <c r="D12" s="18"/>
      <c r="E12" s="18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CAD07-D33C-4E35-B6AB-759A8A1C7136}">
  <sheetPr codeName="Лист11"/>
  <dimension ref="A1:M13"/>
  <sheetViews>
    <sheetView zoomScale="154" zoomScaleNormal="154" workbookViewId="0">
      <selection activeCell="A14" sqref="A14"/>
    </sheetView>
  </sheetViews>
  <sheetFormatPr defaultRowHeight="15" x14ac:dyDescent="0.25"/>
  <sheetData>
    <row r="1" spans="1:13" x14ac:dyDescent="0.25">
      <c r="B1" s="6">
        <v>1</v>
      </c>
      <c r="C1" s="6">
        <v>2</v>
      </c>
      <c r="D1" s="6">
        <v>3</v>
      </c>
      <c r="E1" s="6">
        <v>4</v>
      </c>
      <c r="F1" s="6">
        <v>5</v>
      </c>
      <c r="G1" s="6">
        <v>6</v>
      </c>
      <c r="H1" s="6">
        <v>7</v>
      </c>
      <c r="I1" s="6">
        <v>8</v>
      </c>
      <c r="J1" s="6">
        <v>9</v>
      </c>
      <c r="K1" s="6">
        <v>10</v>
      </c>
      <c r="L1" s="6">
        <v>11</v>
      </c>
      <c r="M1" s="6">
        <v>12</v>
      </c>
    </row>
    <row r="2" spans="1:13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spans="1:13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spans="1:13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</row>
    <row r="7" spans="1:13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</row>
    <row r="8" spans="1:13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</row>
    <row r="9" spans="1:13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</row>
    <row r="10" spans="1:13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</row>
    <row r="11" spans="1:13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pans="1:13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</row>
    <row r="13" spans="1:13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8BD53-CED8-465C-B2AE-322E57F8752C}">
  <sheetPr codeName="Лист3"/>
  <dimension ref="A1:G12"/>
  <sheetViews>
    <sheetView zoomScale="154" zoomScaleNormal="154" workbookViewId="0">
      <selection activeCell="A13" sqref="A13"/>
    </sheetView>
  </sheetViews>
  <sheetFormatPr defaultRowHeight="15" x14ac:dyDescent="0.25"/>
  <cols>
    <col min="1" max="1" width="10.625" bestFit="1" customWidth="1"/>
    <col min="3" max="3" width="24.75" bestFit="1" customWidth="1"/>
    <col min="5" max="5" width="10.625" bestFit="1" customWidth="1"/>
    <col min="7" max="7" width="24.75" bestFit="1" customWidth="1"/>
  </cols>
  <sheetData>
    <row r="1" spans="1:7" x14ac:dyDescent="0.25">
      <c r="A1" t="s">
        <v>4</v>
      </c>
      <c r="B1" s="2">
        <v>0.13</v>
      </c>
    </row>
    <row r="2" spans="1:7" x14ac:dyDescent="0.25">
      <c r="A2" t="s">
        <v>22</v>
      </c>
      <c r="B2" s="2">
        <v>0.05</v>
      </c>
    </row>
    <row r="3" spans="1:7" x14ac:dyDescent="0.25">
      <c r="A3" s="13" t="s">
        <v>0</v>
      </c>
      <c r="B3" s="13" t="s">
        <v>11</v>
      </c>
      <c r="C3" s="13" t="s">
        <v>23</v>
      </c>
      <c r="E3" s="1" t="s">
        <v>0</v>
      </c>
      <c r="F3" s="1" t="s">
        <v>11</v>
      </c>
      <c r="G3" s="1" t="s">
        <v>23</v>
      </c>
    </row>
    <row r="4" spans="1:7" x14ac:dyDescent="0.25">
      <c r="A4" s="5" t="s">
        <v>1</v>
      </c>
      <c r="B4" s="14">
        <v>10000</v>
      </c>
      <c r="C4" s="22"/>
      <c r="E4" t="s">
        <v>1</v>
      </c>
      <c r="F4" s="3">
        <v>10000</v>
      </c>
      <c r="G4" s="18"/>
    </row>
    <row r="5" spans="1:7" x14ac:dyDescent="0.25">
      <c r="A5" s="5" t="s">
        <v>2</v>
      </c>
      <c r="B5" s="14">
        <v>60000</v>
      </c>
      <c r="C5" s="22"/>
      <c r="E5" t="s">
        <v>2</v>
      </c>
      <c r="F5" s="3">
        <v>60000</v>
      </c>
      <c r="G5" s="18"/>
    </row>
    <row r="6" spans="1:7" x14ac:dyDescent="0.25">
      <c r="A6" s="5" t="s">
        <v>3</v>
      </c>
      <c r="B6" s="14">
        <v>30000</v>
      </c>
      <c r="C6" s="22"/>
      <c r="E6" t="s">
        <v>3</v>
      </c>
      <c r="F6" s="3">
        <v>30000</v>
      </c>
      <c r="G6" s="18"/>
    </row>
    <row r="7" spans="1:7" x14ac:dyDescent="0.25">
      <c r="A7" s="5" t="s">
        <v>5</v>
      </c>
      <c r="B7" s="14">
        <v>35000</v>
      </c>
      <c r="C7" s="22"/>
      <c r="E7" t="s">
        <v>5</v>
      </c>
      <c r="F7" s="3">
        <v>35000</v>
      </c>
      <c r="G7" s="18"/>
    </row>
    <row r="8" spans="1:7" x14ac:dyDescent="0.25">
      <c r="A8" s="5" t="s">
        <v>6</v>
      </c>
      <c r="B8" s="14">
        <v>20000</v>
      </c>
      <c r="C8" s="22"/>
      <c r="E8" t="s">
        <v>6</v>
      </c>
      <c r="F8" s="3">
        <v>20000</v>
      </c>
      <c r="G8" s="18"/>
    </row>
    <row r="9" spans="1:7" x14ac:dyDescent="0.25">
      <c r="A9" s="5" t="s">
        <v>7</v>
      </c>
      <c r="B9" s="14">
        <v>70000</v>
      </c>
      <c r="C9" s="22"/>
      <c r="E9" t="s">
        <v>7</v>
      </c>
      <c r="F9" s="3">
        <v>70000</v>
      </c>
      <c r="G9" s="18"/>
    </row>
    <row r="10" spans="1:7" x14ac:dyDescent="0.25">
      <c r="A10" s="5" t="s">
        <v>8</v>
      </c>
      <c r="B10" s="14">
        <v>20000</v>
      </c>
      <c r="C10" s="22"/>
      <c r="E10" t="s">
        <v>8</v>
      </c>
      <c r="F10" s="3">
        <v>20000</v>
      </c>
      <c r="G10" s="18"/>
    </row>
    <row r="11" spans="1:7" x14ac:dyDescent="0.25">
      <c r="A11" s="5" t="s">
        <v>9</v>
      </c>
      <c r="B11" s="14">
        <v>15000</v>
      </c>
      <c r="C11" s="22"/>
      <c r="E11" t="s">
        <v>9</v>
      </c>
      <c r="F11" s="3">
        <v>15000</v>
      </c>
      <c r="G11" s="18"/>
    </row>
    <row r="12" spans="1:7" x14ac:dyDescent="0.25">
      <c r="A12" s="5" t="s">
        <v>10</v>
      </c>
      <c r="B12" s="14">
        <v>45000</v>
      </c>
      <c r="C12" s="22"/>
      <c r="E12" t="s">
        <v>10</v>
      </c>
      <c r="F12" s="3">
        <v>45000</v>
      </c>
      <c r="G12" s="18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62C55-17F9-4169-B08F-BF4B4EF0EFB0}">
  <sheetPr codeName="Лист12"/>
  <dimension ref="A1:L1048561"/>
  <sheetViews>
    <sheetView zoomScale="130" zoomScaleNormal="130" workbookViewId="0">
      <pane xSplit="6" topLeftCell="G1" activePane="topRight" state="frozen"/>
      <selection pane="topRight" activeCell="A16" sqref="A16"/>
    </sheetView>
  </sheetViews>
  <sheetFormatPr defaultColWidth="0" defaultRowHeight="15" zeroHeight="1" outlineLevelRow="1" x14ac:dyDescent="0.25"/>
  <cols>
    <col min="1" max="1" width="21.375" customWidth="1"/>
    <col min="2" max="2" width="14.375" customWidth="1"/>
    <col min="3" max="3" width="11.25" customWidth="1"/>
    <col min="4" max="4" width="12" customWidth="1"/>
    <col min="5" max="5" width="12.875" customWidth="1"/>
    <col min="6" max="6" width="12.5" customWidth="1"/>
    <col min="7" max="7" width="16" customWidth="1"/>
    <col min="8" max="12" width="9" customWidth="1"/>
    <col min="13" max="16384" width="9" hidden="1"/>
  </cols>
  <sheetData>
    <row r="1" spans="1:12" x14ac:dyDescent="0.25">
      <c r="A1" s="25" t="s">
        <v>67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outlineLevel="1" x14ac:dyDescent="0.25">
      <c r="A2" s="6" t="s">
        <v>4</v>
      </c>
      <c r="B2" s="7">
        <v>0.13</v>
      </c>
      <c r="C2" s="6"/>
      <c r="D2" s="6"/>
      <c r="E2" s="6"/>
      <c r="F2" s="6"/>
      <c r="G2" s="6"/>
      <c r="H2" s="6"/>
    </row>
    <row r="3" spans="1:12" outlineLevel="1" x14ac:dyDescent="0.25">
      <c r="A3" s="6"/>
      <c r="B3" s="6"/>
      <c r="C3" s="6"/>
      <c r="D3" s="6"/>
      <c r="E3" s="6"/>
      <c r="F3" s="6"/>
      <c r="G3" s="6"/>
      <c r="H3" s="6"/>
    </row>
    <row r="4" spans="1:12" outlineLevel="1" x14ac:dyDescent="0.25">
      <c r="A4" s="8" t="s">
        <v>0</v>
      </c>
      <c r="B4" s="8" t="s">
        <v>11</v>
      </c>
      <c r="C4" s="8" t="s">
        <v>15</v>
      </c>
      <c r="D4" s="8" t="s">
        <v>16</v>
      </c>
      <c r="E4" s="8" t="s">
        <v>17</v>
      </c>
      <c r="F4" s="8" t="s">
        <v>12</v>
      </c>
      <c r="G4" s="8" t="s">
        <v>18</v>
      </c>
      <c r="H4" s="6"/>
    </row>
    <row r="5" spans="1:12" outlineLevel="1" x14ac:dyDescent="0.25">
      <c r="A5" s="6" t="s">
        <v>1</v>
      </c>
      <c r="B5" s="9">
        <v>10000</v>
      </c>
      <c r="C5" s="10">
        <v>197000</v>
      </c>
      <c r="D5" s="10">
        <v>171553</v>
      </c>
      <c r="E5" s="11">
        <f>C5/D5</f>
        <v>1.1483331681754327</v>
      </c>
      <c r="F5" s="12">
        <f>B5*5%*E5</f>
        <v>574.16658408771639</v>
      </c>
      <c r="G5" s="21"/>
      <c r="H5" s="6"/>
    </row>
    <row r="6" spans="1:12" outlineLevel="1" x14ac:dyDescent="0.25">
      <c r="A6" s="6" t="s">
        <v>2</v>
      </c>
      <c r="B6" s="9">
        <v>60000</v>
      </c>
      <c r="C6" s="10">
        <v>197000</v>
      </c>
      <c r="D6" s="10">
        <v>131505</v>
      </c>
      <c r="E6" s="11">
        <f t="shared" ref="E6:E13" si="0">C6/D6</f>
        <v>1.4980418995475457</v>
      </c>
      <c r="F6" s="12">
        <f t="shared" ref="F6:F13" si="1">B6*5%*E6</f>
        <v>4494.125698642637</v>
      </c>
      <c r="G6" s="21"/>
      <c r="H6" s="6"/>
    </row>
    <row r="7" spans="1:12" outlineLevel="1" x14ac:dyDescent="0.25">
      <c r="A7" s="6" t="s">
        <v>3</v>
      </c>
      <c r="B7" s="9">
        <v>30000</v>
      </c>
      <c r="C7" s="10">
        <v>179000</v>
      </c>
      <c r="D7" s="10">
        <v>130987</v>
      </c>
      <c r="E7" s="11">
        <f t="shared" si="0"/>
        <v>1.3665478253567147</v>
      </c>
      <c r="F7" s="12">
        <f t="shared" si="1"/>
        <v>2049.821738035072</v>
      </c>
      <c r="G7" s="21"/>
      <c r="H7" s="6"/>
    </row>
    <row r="8" spans="1:12" outlineLevel="1" x14ac:dyDescent="0.25">
      <c r="A8" s="6" t="s">
        <v>5</v>
      </c>
      <c r="B8" s="9">
        <v>35000</v>
      </c>
      <c r="C8" s="10">
        <v>125000</v>
      </c>
      <c r="D8" s="10">
        <v>175317</v>
      </c>
      <c r="E8" s="11">
        <f t="shared" si="0"/>
        <v>0.71299417626356831</v>
      </c>
      <c r="F8" s="12">
        <f t="shared" si="1"/>
        <v>1247.7398084612446</v>
      </c>
      <c r="G8" s="21"/>
      <c r="H8" s="6"/>
    </row>
    <row r="9" spans="1:12" outlineLevel="1" x14ac:dyDescent="0.25">
      <c r="A9" s="6" t="s">
        <v>6</v>
      </c>
      <c r="B9" s="9">
        <v>20000</v>
      </c>
      <c r="C9" s="10">
        <v>124000</v>
      </c>
      <c r="D9" s="10">
        <v>146694</v>
      </c>
      <c r="E9" s="11">
        <f t="shared" si="0"/>
        <v>0.84529701282942726</v>
      </c>
      <c r="F9" s="12">
        <f t="shared" si="1"/>
        <v>845.29701282942722</v>
      </c>
      <c r="G9" s="21"/>
      <c r="H9" s="6"/>
    </row>
    <row r="10" spans="1:12" outlineLevel="1" x14ac:dyDescent="0.25">
      <c r="A10" s="6" t="s">
        <v>7</v>
      </c>
      <c r="B10" s="9">
        <v>70000</v>
      </c>
      <c r="C10" s="10">
        <v>169000</v>
      </c>
      <c r="D10" s="10">
        <v>169158</v>
      </c>
      <c r="E10" s="11">
        <f t="shared" si="0"/>
        <v>0.99906596200002362</v>
      </c>
      <c r="F10" s="12">
        <f t="shared" si="1"/>
        <v>3496.7308670000825</v>
      </c>
      <c r="G10" s="21"/>
      <c r="H10" s="6"/>
    </row>
    <row r="11" spans="1:12" outlineLevel="1" x14ac:dyDescent="0.25">
      <c r="A11" s="6" t="s">
        <v>8</v>
      </c>
      <c r="B11" s="9">
        <v>20000</v>
      </c>
      <c r="C11" s="10">
        <v>197000</v>
      </c>
      <c r="D11" s="10">
        <v>131367</v>
      </c>
      <c r="E11" s="11">
        <f t="shared" si="0"/>
        <v>1.4996155807775164</v>
      </c>
      <c r="F11" s="12">
        <f t="shared" si="1"/>
        <v>1499.6155807775165</v>
      </c>
      <c r="G11" s="21"/>
      <c r="H11" s="6"/>
    </row>
    <row r="12" spans="1:12" outlineLevel="1" x14ac:dyDescent="0.25">
      <c r="A12" s="6" t="s">
        <v>9</v>
      </c>
      <c r="B12" s="9">
        <v>15000</v>
      </c>
      <c r="C12" s="10">
        <v>109000</v>
      </c>
      <c r="D12" s="10">
        <v>145831</v>
      </c>
      <c r="E12" s="11">
        <f t="shared" si="0"/>
        <v>0.74744053047705905</v>
      </c>
      <c r="F12" s="12">
        <f t="shared" si="1"/>
        <v>560.58039785779431</v>
      </c>
      <c r="G12" s="21"/>
      <c r="H12" s="6"/>
    </row>
    <row r="13" spans="1:12" outlineLevel="1" x14ac:dyDescent="0.25">
      <c r="A13" s="6" t="s">
        <v>10</v>
      </c>
      <c r="B13" s="9">
        <v>45000</v>
      </c>
      <c r="C13" s="10">
        <v>147000</v>
      </c>
      <c r="D13" s="10">
        <v>132203</v>
      </c>
      <c r="E13" s="11">
        <f t="shared" si="0"/>
        <v>1.1119263556802796</v>
      </c>
      <c r="F13" s="12">
        <f t="shared" si="1"/>
        <v>2501.8343002806291</v>
      </c>
      <c r="G13" s="21"/>
      <c r="H13" s="6"/>
    </row>
    <row r="14" spans="1:12" outlineLevel="1" x14ac:dyDescent="0.25"/>
    <row r="15" spans="1:12" outlineLevel="1" x14ac:dyDescent="0.25">
      <c r="B15" s="4"/>
      <c r="D15" s="4"/>
    </row>
    <row r="16" spans="1:12" outlineLevel="1" x14ac:dyDescent="0.25">
      <c r="A16" s="6" t="s">
        <v>24</v>
      </c>
      <c r="B16" s="16"/>
    </row>
    <row r="17" spans="1:12" outlineLevel="1" x14ac:dyDescent="0.25">
      <c r="A17" s="6" t="s">
        <v>25</v>
      </c>
      <c r="B17" s="18"/>
    </row>
    <row r="18" spans="1:12" outlineLevel="1" x14ac:dyDescent="0.25">
      <c r="A18" s="6" t="s">
        <v>26</v>
      </c>
      <c r="B18" s="18"/>
    </row>
    <row r="19" spans="1:12" outlineLevel="1" x14ac:dyDescent="0.25">
      <c r="A19" s="6" t="s">
        <v>27</v>
      </c>
      <c r="B19" s="16"/>
    </row>
    <row r="20" spans="1:12" outlineLevel="1" x14ac:dyDescent="0.25"/>
    <row r="21" spans="1:12" x14ac:dyDescent="0.25">
      <c r="A21" s="25" t="s">
        <v>28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</row>
    <row r="22" spans="1:12" outlineLevel="1" x14ac:dyDescent="0.25"/>
    <row r="23" spans="1:12" outlineLevel="1" x14ac:dyDescent="0.25">
      <c r="A23" t="s">
        <v>29</v>
      </c>
      <c r="B23" s="3">
        <v>100000</v>
      </c>
    </row>
    <row r="24" spans="1:12" outlineLevel="1" x14ac:dyDescent="0.25">
      <c r="A24" t="s">
        <v>30</v>
      </c>
      <c r="B24" s="15">
        <v>7.0999999999999994E-2</v>
      </c>
    </row>
    <row r="25" spans="1:12" outlineLevel="1" x14ac:dyDescent="0.25">
      <c r="A25" t="s">
        <v>31</v>
      </c>
    </row>
    <row r="26" spans="1:12" outlineLevel="1" x14ac:dyDescent="0.25">
      <c r="A26" t="s">
        <v>34</v>
      </c>
      <c r="B26" s="3">
        <v>10000</v>
      </c>
    </row>
    <row r="27" spans="1:12" outlineLevel="1" x14ac:dyDescent="0.25">
      <c r="A27" t="s">
        <v>32</v>
      </c>
      <c r="B27">
        <v>5</v>
      </c>
    </row>
    <row r="28" spans="1:12" outlineLevel="1" x14ac:dyDescent="0.25">
      <c r="A28" t="s">
        <v>33</v>
      </c>
      <c r="B28" s="16"/>
    </row>
    <row r="29" spans="1:12" outlineLevel="1" x14ac:dyDescent="0.25"/>
    <row r="30" spans="1:12" x14ac:dyDescent="0.25">
      <c r="A30" s="25" t="s">
        <v>35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</row>
    <row r="31" spans="1:12" outlineLevel="1" x14ac:dyDescent="0.25">
      <c r="A31" t="s">
        <v>40</v>
      </c>
      <c r="B31" s="17">
        <v>0.38541666666666669</v>
      </c>
    </row>
    <row r="32" spans="1:12" outlineLevel="1" x14ac:dyDescent="0.25">
      <c r="A32" s="26" t="s">
        <v>36</v>
      </c>
      <c r="B32" s="26"/>
    </row>
    <row r="33" spans="1:12" outlineLevel="1" x14ac:dyDescent="0.25">
      <c r="A33" t="s">
        <v>37</v>
      </c>
      <c r="B33">
        <v>1</v>
      </c>
    </row>
    <row r="34" spans="1:12" outlineLevel="1" x14ac:dyDescent="0.25">
      <c r="A34" t="s">
        <v>38</v>
      </c>
      <c r="B34">
        <v>35</v>
      </c>
    </row>
    <row r="35" spans="1:12" outlineLevel="1" x14ac:dyDescent="0.25">
      <c r="A35" t="s">
        <v>39</v>
      </c>
      <c r="B35">
        <v>37</v>
      </c>
    </row>
    <row r="36" spans="1:12" outlineLevel="1" x14ac:dyDescent="0.25">
      <c r="A36" t="s">
        <v>41</v>
      </c>
      <c r="B36" s="16"/>
    </row>
    <row r="37" spans="1:12" outlineLevel="1" x14ac:dyDescent="0.25"/>
    <row r="38" spans="1:12" outlineLevel="1" x14ac:dyDescent="0.25"/>
    <row r="39" spans="1:12" x14ac:dyDescent="0.25">
      <c r="A39" s="25" t="s">
        <v>42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</row>
    <row r="40" spans="1:12" outlineLevel="1" x14ac:dyDescent="0.25">
      <c r="A40" t="s">
        <v>43</v>
      </c>
      <c r="B40">
        <v>1764</v>
      </c>
    </row>
    <row r="41" spans="1:12" outlineLevel="1" x14ac:dyDescent="0.25">
      <c r="A41" t="s">
        <v>44</v>
      </c>
      <c r="B41" s="16"/>
    </row>
    <row r="42" spans="1:12" outlineLevel="1" x14ac:dyDescent="0.25"/>
    <row r="43" spans="1:12" outlineLevel="1" x14ac:dyDescent="0.25"/>
    <row r="44" spans="1:12" outlineLevel="1" x14ac:dyDescent="0.25"/>
    <row r="45" spans="1:12" outlineLevel="1" x14ac:dyDescent="0.25"/>
    <row r="46" spans="1:12" x14ac:dyDescent="0.25">
      <c r="A46" s="25" t="s">
        <v>45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</row>
    <row r="47" spans="1:12" outlineLevel="1" x14ac:dyDescent="0.25">
      <c r="A47" s="8" t="s">
        <v>0</v>
      </c>
      <c r="B47" s="8" t="s">
        <v>11</v>
      </c>
    </row>
    <row r="48" spans="1:12" outlineLevel="1" x14ac:dyDescent="0.25">
      <c r="A48" s="6" t="s">
        <v>1</v>
      </c>
      <c r="B48" s="9">
        <v>18000</v>
      </c>
    </row>
    <row r="49" spans="1:12" outlineLevel="1" x14ac:dyDescent="0.25">
      <c r="A49" s="6" t="s">
        <v>2</v>
      </c>
      <c r="B49" s="9">
        <v>200000</v>
      </c>
    </row>
    <row r="50" spans="1:12" outlineLevel="1" x14ac:dyDescent="0.25">
      <c r="A50" s="6" t="s">
        <v>3</v>
      </c>
      <c r="B50" s="9">
        <v>15000</v>
      </c>
    </row>
    <row r="51" spans="1:12" outlineLevel="1" x14ac:dyDescent="0.25">
      <c r="A51" s="6" t="s">
        <v>5</v>
      </c>
      <c r="B51" s="9">
        <v>19000</v>
      </c>
    </row>
    <row r="52" spans="1:12" outlineLevel="1" x14ac:dyDescent="0.25">
      <c r="A52" s="6" t="s">
        <v>6</v>
      </c>
      <c r="B52" s="9">
        <v>18000</v>
      </c>
    </row>
    <row r="53" spans="1:12" outlineLevel="1" x14ac:dyDescent="0.25">
      <c r="A53" s="6" t="s">
        <v>7</v>
      </c>
      <c r="B53" s="9">
        <v>12000</v>
      </c>
    </row>
    <row r="54" spans="1:12" outlineLevel="1" x14ac:dyDescent="0.25">
      <c r="A54" s="6" t="s">
        <v>8</v>
      </c>
      <c r="B54" s="9">
        <v>10000</v>
      </c>
    </row>
    <row r="55" spans="1:12" outlineLevel="1" x14ac:dyDescent="0.25">
      <c r="A55" s="6" t="s">
        <v>9</v>
      </c>
      <c r="B55" s="9">
        <v>11000</v>
      </c>
    </row>
    <row r="56" spans="1:12" outlineLevel="1" x14ac:dyDescent="0.25">
      <c r="A56" s="6" t="s">
        <v>10</v>
      </c>
      <c r="B56" s="9">
        <v>10000</v>
      </c>
    </row>
    <row r="57" spans="1:12" outlineLevel="1" x14ac:dyDescent="0.25"/>
    <row r="58" spans="1:12" x14ac:dyDescent="0.25">
      <c r="A58" s="25" t="s">
        <v>46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</row>
    <row r="59" spans="1:12" outlineLevel="1" x14ac:dyDescent="0.25">
      <c r="A59" s="8" t="s">
        <v>0</v>
      </c>
      <c r="B59" s="8" t="s">
        <v>11</v>
      </c>
      <c r="C59" s="19" t="s">
        <v>47</v>
      </c>
    </row>
    <row r="60" spans="1:12" outlineLevel="1" x14ac:dyDescent="0.25">
      <c r="A60" s="6" t="s">
        <v>1</v>
      </c>
      <c r="B60" s="9">
        <v>10000</v>
      </c>
      <c r="C60" s="16"/>
    </row>
    <row r="61" spans="1:12" outlineLevel="1" x14ac:dyDescent="0.25">
      <c r="A61" s="6" t="s">
        <v>5</v>
      </c>
      <c r="B61" s="9">
        <v>35000</v>
      </c>
      <c r="C61" s="16"/>
    </row>
    <row r="62" spans="1:12" outlineLevel="1" x14ac:dyDescent="0.25">
      <c r="A62" s="6" t="s">
        <v>6</v>
      </c>
      <c r="B62" s="9">
        <v>20000</v>
      </c>
      <c r="C62" s="16"/>
    </row>
    <row r="63" spans="1:12" outlineLevel="1" x14ac:dyDescent="0.25">
      <c r="A63" s="6" t="s">
        <v>10</v>
      </c>
      <c r="B63" s="9">
        <v>45000</v>
      </c>
      <c r="C63" s="16"/>
    </row>
    <row r="64" spans="1:12" outlineLevel="1" x14ac:dyDescent="0.25"/>
    <row r="65" spans="1:12" outlineLevel="1" x14ac:dyDescent="0.25">
      <c r="A65" s="8" t="s">
        <v>0</v>
      </c>
      <c r="B65" s="19" t="s">
        <v>47</v>
      </c>
    </row>
    <row r="66" spans="1:12" outlineLevel="1" x14ac:dyDescent="0.25">
      <c r="A66" s="6" t="s">
        <v>1</v>
      </c>
      <c r="B66" s="10">
        <v>197000</v>
      </c>
    </row>
    <row r="67" spans="1:12" outlineLevel="1" x14ac:dyDescent="0.25">
      <c r="A67" s="6" t="s">
        <v>2</v>
      </c>
      <c r="B67" s="10">
        <v>197000</v>
      </c>
    </row>
    <row r="68" spans="1:12" outlineLevel="1" x14ac:dyDescent="0.25">
      <c r="A68" s="6" t="s">
        <v>3</v>
      </c>
      <c r="B68" s="10">
        <v>179000</v>
      </c>
    </row>
    <row r="69" spans="1:12" outlineLevel="1" x14ac:dyDescent="0.25">
      <c r="A69" s="6" t="s">
        <v>5</v>
      </c>
      <c r="B69" s="10">
        <v>125000</v>
      </c>
    </row>
    <row r="70" spans="1:12" outlineLevel="1" x14ac:dyDescent="0.25">
      <c r="A70" s="6" t="s">
        <v>6</v>
      </c>
      <c r="B70" s="10">
        <v>124000</v>
      </c>
    </row>
    <row r="71" spans="1:12" outlineLevel="1" x14ac:dyDescent="0.25">
      <c r="A71" s="6" t="s">
        <v>7</v>
      </c>
      <c r="B71" s="10">
        <v>169000</v>
      </c>
    </row>
    <row r="72" spans="1:12" outlineLevel="1" x14ac:dyDescent="0.25">
      <c r="A72" s="6" t="s">
        <v>8</v>
      </c>
      <c r="B72" s="10">
        <v>197000</v>
      </c>
    </row>
    <row r="73" spans="1:12" outlineLevel="1" x14ac:dyDescent="0.25">
      <c r="A73" s="6" t="s">
        <v>9</v>
      </c>
      <c r="B73" s="10">
        <v>109000</v>
      </c>
    </row>
    <row r="74" spans="1:12" outlineLevel="1" x14ac:dyDescent="0.25">
      <c r="A74" s="6" t="s">
        <v>10</v>
      </c>
      <c r="B74" s="10">
        <v>147000</v>
      </c>
    </row>
    <row r="75" spans="1:12" outlineLevel="1" x14ac:dyDescent="0.25"/>
    <row r="76" spans="1:12" collapsed="1" x14ac:dyDescent="0.25">
      <c r="A76" s="25" t="s">
        <v>48</v>
      </c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</row>
    <row r="77" spans="1:12" outlineLevel="1" x14ac:dyDescent="0.25">
      <c r="A77" s="8" t="s">
        <v>0</v>
      </c>
      <c r="B77" s="19" t="s">
        <v>47</v>
      </c>
      <c r="D77" t="s">
        <v>47</v>
      </c>
    </row>
    <row r="78" spans="1:12" outlineLevel="1" x14ac:dyDescent="0.25">
      <c r="A78" s="6" t="s">
        <v>1</v>
      </c>
      <c r="B78" s="10">
        <v>197000</v>
      </c>
      <c r="D78" t="s">
        <v>49</v>
      </c>
    </row>
    <row r="79" spans="1:12" outlineLevel="1" x14ac:dyDescent="0.25">
      <c r="A79" s="6" t="s">
        <v>2</v>
      </c>
      <c r="B79" s="10">
        <v>197000</v>
      </c>
    </row>
    <row r="80" spans="1:12" outlineLevel="1" x14ac:dyDescent="0.25">
      <c r="A80" s="6" t="s">
        <v>3</v>
      </c>
      <c r="B80" s="10">
        <v>179000</v>
      </c>
      <c r="D80" s="16"/>
    </row>
    <row r="81" spans="1:12" outlineLevel="1" x14ac:dyDescent="0.25">
      <c r="A81" s="6" t="s">
        <v>5</v>
      </c>
      <c r="B81" s="10">
        <v>125000</v>
      </c>
    </row>
    <row r="82" spans="1:12" outlineLevel="1" x14ac:dyDescent="0.25">
      <c r="A82" s="6" t="s">
        <v>6</v>
      </c>
      <c r="B82" s="10">
        <v>124000</v>
      </c>
    </row>
    <row r="83" spans="1:12" outlineLevel="1" x14ac:dyDescent="0.25">
      <c r="A83" s="6" t="s">
        <v>7</v>
      </c>
      <c r="B83" s="10">
        <v>169000</v>
      </c>
    </row>
    <row r="84" spans="1:12" outlineLevel="1" x14ac:dyDescent="0.25">
      <c r="A84" s="6" t="s">
        <v>8</v>
      </c>
      <c r="B84" s="10">
        <v>197000</v>
      </c>
    </row>
    <row r="85" spans="1:12" outlineLevel="1" x14ac:dyDescent="0.25">
      <c r="A85" s="6" t="s">
        <v>9</v>
      </c>
      <c r="B85" s="10">
        <v>109000</v>
      </c>
    </row>
    <row r="86" spans="1:12" outlineLevel="1" x14ac:dyDescent="0.25">
      <c r="A86" s="6" t="s">
        <v>10</v>
      </c>
      <c r="B86" s="10">
        <v>147000</v>
      </c>
    </row>
    <row r="87" spans="1:12" outlineLevel="1" x14ac:dyDescent="0.25"/>
    <row r="88" spans="1:12" collapsed="1" x14ac:dyDescent="0.25">
      <c r="A88" s="25" t="s">
        <v>50</v>
      </c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</row>
    <row r="89" spans="1:12" outlineLevel="1" x14ac:dyDescent="0.25">
      <c r="A89" s="6" t="s">
        <v>51</v>
      </c>
      <c r="B89" t="s">
        <v>52</v>
      </c>
    </row>
    <row r="90" spans="1:12" outlineLevel="1" x14ac:dyDescent="0.25">
      <c r="A90" s="6" t="s">
        <v>53</v>
      </c>
      <c r="B90" s="16"/>
    </row>
    <row r="91" spans="1:12" outlineLevel="1" x14ac:dyDescent="0.25"/>
    <row r="92" spans="1:12" outlineLevel="1" x14ac:dyDescent="0.25"/>
    <row r="93" spans="1:12" outlineLevel="1" x14ac:dyDescent="0.25"/>
    <row r="94" spans="1:12" collapsed="1" x14ac:dyDescent="0.25">
      <c r="A94" s="25" t="s">
        <v>54</v>
      </c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</row>
    <row r="95" spans="1:12" outlineLevel="1" x14ac:dyDescent="0.25">
      <c r="A95" s="8" t="s">
        <v>0</v>
      </c>
      <c r="B95" s="8" t="s">
        <v>11</v>
      </c>
      <c r="C95" s="8" t="s">
        <v>15</v>
      </c>
      <c r="D95" s="8" t="s">
        <v>16</v>
      </c>
      <c r="E95" s="8" t="s">
        <v>17</v>
      </c>
      <c r="F95" s="8" t="s">
        <v>12</v>
      </c>
    </row>
    <row r="96" spans="1:12" outlineLevel="1" x14ac:dyDescent="0.25">
      <c r="A96" s="6" t="s">
        <v>1</v>
      </c>
      <c r="B96" s="9">
        <v>10000</v>
      </c>
      <c r="C96" s="10">
        <v>197000</v>
      </c>
      <c r="D96" s="10">
        <v>171553</v>
      </c>
      <c r="E96" s="11">
        <f>C96/D96</f>
        <v>1.1483331681754327</v>
      </c>
      <c r="F96" s="20"/>
    </row>
    <row r="97" spans="1:12" outlineLevel="1" x14ac:dyDescent="0.25">
      <c r="A97" s="6" t="s">
        <v>2</v>
      </c>
      <c r="B97" s="9">
        <v>60000</v>
      </c>
      <c r="C97" s="10">
        <v>197000</v>
      </c>
      <c r="D97" s="10">
        <v>131505</v>
      </c>
      <c r="E97" s="11">
        <f t="shared" ref="E97:E104" si="2">C97/D97</f>
        <v>1.4980418995475457</v>
      </c>
      <c r="F97" s="20"/>
    </row>
    <row r="98" spans="1:12" outlineLevel="1" x14ac:dyDescent="0.25">
      <c r="A98" s="6" t="s">
        <v>3</v>
      </c>
      <c r="B98" s="9">
        <v>30000</v>
      </c>
      <c r="C98" s="10">
        <v>179000</v>
      </c>
      <c r="D98" s="10">
        <v>130987</v>
      </c>
      <c r="E98" s="11">
        <f t="shared" si="2"/>
        <v>1.3665478253567147</v>
      </c>
      <c r="F98" s="20"/>
    </row>
    <row r="99" spans="1:12" outlineLevel="1" x14ac:dyDescent="0.25">
      <c r="A99" s="6" t="s">
        <v>5</v>
      </c>
      <c r="B99" s="9">
        <v>35000</v>
      </c>
      <c r="C99" s="10">
        <v>125000</v>
      </c>
      <c r="D99" s="10">
        <v>175317</v>
      </c>
      <c r="E99" s="11">
        <f t="shared" si="2"/>
        <v>0.71299417626356831</v>
      </c>
      <c r="F99" s="20"/>
    </row>
    <row r="100" spans="1:12" outlineLevel="1" x14ac:dyDescent="0.25">
      <c r="A100" s="6" t="s">
        <v>6</v>
      </c>
      <c r="B100" s="9">
        <v>20000</v>
      </c>
      <c r="C100" s="10">
        <v>124000</v>
      </c>
      <c r="D100" s="10">
        <v>146694</v>
      </c>
      <c r="E100" s="11">
        <f t="shared" si="2"/>
        <v>0.84529701282942726</v>
      </c>
      <c r="F100" s="20"/>
    </row>
    <row r="101" spans="1:12" outlineLevel="1" x14ac:dyDescent="0.25">
      <c r="A101" s="6" t="s">
        <v>7</v>
      </c>
      <c r="B101" s="9">
        <v>70000</v>
      </c>
      <c r="C101" s="10">
        <v>169000</v>
      </c>
      <c r="D101" s="10">
        <v>169158</v>
      </c>
      <c r="E101" s="11">
        <f t="shared" si="2"/>
        <v>0.99906596200002362</v>
      </c>
      <c r="F101" s="20"/>
    </row>
    <row r="102" spans="1:12" outlineLevel="1" x14ac:dyDescent="0.25">
      <c r="A102" s="6" t="s">
        <v>8</v>
      </c>
      <c r="B102" s="9">
        <v>20000</v>
      </c>
      <c r="C102" s="10">
        <v>197000</v>
      </c>
      <c r="D102" s="10">
        <v>131367</v>
      </c>
      <c r="E102" s="11">
        <f t="shared" si="2"/>
        <v>1.4996155807775164</v>
      </c>
      <c r="F102" s="20"/>
    </row>
    <row r="103" spans="1:12" outlineLevel="1" x14ac:dyDescent="0.25">
      <c r="A103" s="6" t="s">
        <v>9</v>
      </c>
      <c r="B103" s="9">
        <v>15000</v>
      </c>
      <c r="C103" s="10">
        <v>109000</v>
      </c>
      <c r="D103" s="10">
        <v>145831</v>
      </c>
      <c r="E103" s="11">
        <f t="shared" si="2"/>
        <v>0.74744053047705905</v>
      </c>
      <c r="F103" s="20"/>
    </row>
    <row r="104" spans="1:12" outlineLevel="1" x14ac:dyDescent="0.25">
      <c r="A104" s="6" t="s">
        <v>10</v>
      </c>
      <c r="B104" s="9">
        <v>45000</v>
      </c>
      <c r="C104" s="10">
        <v>147000</v>
      </c>
      <c r="D104" s="10">
        <v>132203</v>
      </c>
      <c r="E104" s="11">
        <f t="shared" si="2"/>
        <v>1.1119263556802796</v>
      </c>
      <c r="F104" s="20"/>
    </row>
    <row r="105" spans="1:12" outlineLevel="1" x14ac:dyDescent="0.25"/>
    <row r="106" spans="1:12" collapsed="1" x14ac:dyDescent="0.25">
      <c r="A106" s="25" t="s">
        <v>55</v>
      </c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</row>
    <row r="107" spans="1:12" ht="30" outlineLevel="1" x14ac:dyDescent="0.25">
      <c r="B107" s="23" t="s">
        <v>57</v>
      </c>
      <c r="C107" s="23" t="s">
        <v>58</v>
      </c>
      <c r="D107" s="23" t="s">
        <v>59</v>
      </c>
    </row>
    <row r="108" spans="1:12" outlineLevel="1" x14ac:dyDescent="0.25">
      <c r="A108" s="6" t="s">
        <v>56</v>
      </c>
      <c r="B108" s="16"/>
      <c r="C108" s="16"/>
      <c r="D108" s="16"/>
    </row>
    <row r="109" spans="1:12" outlineLevel="1" x14ac:dyDescent="0.25">
      <c r="A109" t="e">
        <f>5/0</f>
        <v>#DIV/0!</v>
      </c>
      <c r="B109" s="16"/>
      <c r="C109" s="16"/>
      <c r="D109" s="16"/>
    </row>
    <row r="110" spans="1:12" outlineLevel="1" x14ac:dyDescent="0.25">
      <c r="A110">
        <v>145</v>
      </c>
      <c r="B110" s="16"/>
      <c r="C110" s="16"/>
      <c r="D110" s="16"/>
    </row>
    <row r="111" spans="1:12" outlineLevel="1" x14ac:dyDescent="0.25"/>
    <row r="112" spans="1:12" collapsed="1" x14ac:dyDescent="0.25">
      <c r="A112" s="25" t="s">
        <v>66</v>
      </c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</row>
    <row r="113" spans="1:12" outlineLevel="1" x14ac:dyDescent="0.25">
      <c r="A113" s="27" t="s">
        <v>62</v>
      </c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</row>
    <row r="114" spans="1:12" outlineLevel="1" x14ac:dyDescent="0.25">
      <c r="A114" s="24" t="s">
        <v>60</v>
      </c>
    </row>
    <row r="115" spans="1:12" outlineLevel="1" x14ac:dyDescent="0.25">
      <c r="A115" s="27" t="s">
        <v>63</v>
      </c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</row>
    <row r="116" spans="1:12" outlineLevel="1" x14ac:dyDescent="0.25">
      <c r="A116" s="24" t="s">
        <v>60</v>
      </c>
    </row>
    <row r="117" spans="1:12" outlineLevel="1" x14ac:dyDescent="0.25">
      <c r="A117" s="27" t="s">
        <v>64</v>
      </c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</row>
    <row r="118" spans="1:12" outlineLevel="1" x14ac:dyDescent="0.25">
      <c r="A118" s="24" t="s">
        <v>60</v>
      </c>
    </row>
    <row r="119" spans="1:12" outlineLevel="1" x14ac:dyDescent="0.25">
      <c r="A119" s="27" t="s">
        <v>65</v>
      </c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</row>
    <row r="120" spans="1:12" outlineLevel="1" x14ac:dyDescent="0.25">
      <c r="A120" s="24" t="s">
        <v>60</v>
      </c>
    </row>
    <row r="121" spans="1:12" outlineLevel="1" x14ac:dyDescent="0.25">
      <c r="A121" s="27" t="s">
        <v>61</v>
      </c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</row>
    <row r="122" spans="1:12" ht="30" customHeight="1" outlineLevel="1" x14ac:dyDescent="0.25">
      <c r="A122" s="24" t="s">
        <v>60</v>
      </c>
    </row>
    <row r="123" spans="1:12" collapsed="1" x14ac:dyDescent="0.25"/>
    <row r="1048561" x14ac:dyDescent="0.25"/>
  </sheetData>
  <mergeCells count="17">
    <mergeCell ref="A21:L21"/>
    <mergeCell ref="A30:L30"/>
    <mergeCell ref="A32:B32"/>
    <mergeCell ref="A39:L39"/>
    <mergeCell ref="A1:L1"/>
    <mergeCell ref="A121:L121"/>
    <mergeCell ref="A113:L113"/>
    <mergeCell ref="A115:L115"/>
    <mergeCell ref="A117:L117"/>
    <mergeCell ref="A119:L119"/>
    <mergeCell ref="A112:L112"/>
    <mergeCell ref="A46:L46"/>
    <mergeCell ref="A58:L58"/>
    <mergeCell ref="A76:L76"/>
    <mergeCell ref="A88:L88"/>
    <mergeCell ref="A94:L94"/>
    <mergeCell ref="A106:L106"/>
  </mergeCells>
  <hyperlinks>
    <hyperlink ref="A122" r:id="rId1" xr:uid="{92FF30C5-7CB9-4A9A-83F4-737AA9C1ABEB}"/>
    <hyperlink ref="A114" r:id="rId2" xr:uid="{455B9996-46BC-4527-825A-48A79EA8E846}"/>
    <hyperlink ref="A116" r:id="rId3" xr:uid="{000F554B-0E4F-4DD1-8C79-D3D9053F3EBF}"/>
    <hyperlink ref="A118" r:id="rId4" xr:uid="{0AE2F790-847E-474E-80F3-7DACA8B03454}"/>
    <hyperlink ref="A120" r:id="rId5" xr:uid="{F95C1F7A-A234-4D90-BECB-81481D6AB24E}"/>
  </hyperlink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Титульный лист</vt:lpstr>
      <vt:lpstr>2.0 Формулы-памятка</vt:lpstr>
      <vt:lpstr>2.2 Ссылки (бывш. 1.9)</vt:lpstr>
      <vt:lpstr>2.3 Смешанные ссылки</vt:lpstr>
      <vt:lpstr>2.4 Именованные диапазоны</vt:lpstr>
      <vt:lpstr>2.5 Введение в функции</vt:lpstr>
    </vt:vector>
  </TitlesOfParts>
  <Company>Zaghorakhis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Afan Zaghorakhis</dc:creator>
  <cp:lastModifiedBy>Alexander Excel Genie</cp:lastModifiedBy>
  <dcterms:created xsi:type="dcterms:W3CDTF">2020-08-01T23:08:20Z</dcterms:created>
  <dcterms:modified xsi:type="dcterms:W3CDTF">2023-09-20T18:33:18Z</dcterms:modified>
</cp:coreProperties>
</file>