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Январь" sheetId="1" r:id="rId1"/>
  </sheets>
  <calcPr calcId="152511"/>
</workbook>
</file>

<file path=xl/calcChain.xml><?xml version="1.0" encoding="utf-8"?>
<calcChain xmlns="http://schemas.openxmlformats.org/spreadsheetml/2006/main">
  <c r="E14" i="1" l="1"/>
  <c r="F26" i="1"/>
  <c r="L7" i="1" s="1"/>
  <c r="E9" i="1" l="1"/>
  <c r="L4" i="1" s="1"/>
  <c r="G14" i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5" i="1"/>
  <c r="G25" i="1" s="1"/>
  <c r="E24" i="1"/>
  <c r="G24" i="1" s="1"/>
  <c r="E23" i="1"/>
  <c r="G23" i="1" s="1"/>
  <c r="E22" i="1"/>
  <c r="G22" i="1" s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6" i="1" l="1"/>
  <c r="E26" i="1"/>
  <c r="L5" i="1" s="1"/>
  <c r="L8" i="1" s="1"/>
  <c r="AJ28" i="1"/>
  <c r="O28" i="1"/>
  <c r="V28" i="1"/>
  <c r="AC28" i="1"/>
  <c r="H28" i="1"/>
  <c r="L6" i="1" l="1"/>
</calcChain>
</file>

<file path=xl/sharedStrings.xml><?xml version="1.0" encoding="utf-8"?>
<sst xmlns="http://schemas.openxmlformats.org/spreadsheetml/2006/main" count="38" uniqueCount="37">
  <si>
    <t>Автомобиль</t>
  </si>
  <si>
    <t>Бытовые нужды</t>
  </si>
  <si>
    <t>Вредные привычки</t>
  </si>
  <si>
    <t>Гигиена и здоровье</t>
  </si>
  <si>
    <t>Дети</t>
  </si>
  <si>
    <t>Квартплата</t>
  </si>
  <si>
    <t>Кредит/долги</t>
  </si>
  <si>
    <t>Одежда и косметика</t>
  </si>
  <si>
    <t>Поездки (транспорт, такси)</t>
  </si>
  <si>
    <t>Продукты питания</t>
  </si>
  <si>
    <t>Развлечения и подарки</t>
  </si>
  <si>
    <t>Связь (телефон, интернет)</t>
  </si>
  <si>
    <t>Категории расходов</t>
  </si>
  <si>
    <t>№</t>
  </si>
  <si>
    <t>Итого</t>
  </si>
  <si>
    <t>Итого за день</t>
  </si>
  <si>
    <t>Итого за месяц</t>
  </si>
  <si>
    <t>Итого за неделю</t>
  </si>
  <si>
    <t>Расх. за мес.</t>
  </si>
  <si>
    <t xml:space="preserve">   Дни месяца</t>
  </si>
  <si>
    <t>Таблица расходов и доходов семейного бюджета</t>
  </si>
  <si>
    <t>Категории доходов</t>
  </si>
  <si>
    <t>Сумма</t>
  </si>
  <si>
    <t>Зарплата</t>
  </si>
  <si>
    <t>Подработка</t>
  </si>
  <si>
    <t>Дивиденды</t>
  </si>
  <si>
    <t>Разное</t>
  </si>
  <si>
    <t>Отчет</t>
  </si>
  <si>
    <t>Доходы за месяц</t>
  </si>
  <si>
    <t>Расходы за месяц</t>
  </si>
  <si>
    <t>Сальдо (разница)</t>
  </si>
  <si>
    <t>Отклонение</t>
  </si>
  <si>
    <t>Доходы бюджета</t>
  </si>
  <si>
    <t>Расходы бюджета</t>
  </si>
  <si>
    <t>План расх.</t>
  </si>
  <si>
    <t>План расходов</t>
  </si>
  <si>
    <t>Отход от плана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</si>
</sst>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 ;[Red]\-0.00\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2"/>
      <color rgb="FF0070C0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2" borderId="1" xfId="0" applyFill="1" applyBorder="1"/>
    <xf numFmtId="0" fontId="2" fillId="2" borderId="1" xfId="0" applyFont="1" applyFill="1" applyBorder="1"/>
    <xf numFmtId="0" fontId="2" fillId="2" borderId="1" xfId="0" applyFont="1" applyFill="1" applyBorder="1" applyAlignment="1"/>
    <xf numFmtId="0" fontId="2" fillId="3" borderId="1" xfId="0" applyFont="1" applyFill="1" applyBorder="1"/>
    <xf numFmtId="0" fontId="3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3" fillId="2" borderId="1" xfId="0" applyFont="1" applyFill="1" applyBorder="1"/>
    <xf numFmtId="0" fontId="1" fillId="2" borderId="1" xfId="0" applyFont="1" applyFill="1" applyBorder="1"/>
    <xf numFmtId="0" fontId="3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2" fillId="2" borderId="4" xfId="0" applyFont="1" applyFill="1" applyBorder="1" applyAlignment="1"/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2" fillId="2" borderId="1" xfId="0" applyFont="1" applyFill="1" applyBorder="1" applyAlignment="1"/>
    <xf numFmtId="0" fontId="7" fillId="0" borderId="0" xfId="0" applyFont="1" applyAlignment="1">
      <alignment horizontal="center"/>
    </xf>
    <xf numFmtId="0" fontId="3" fillId="7" borderId="5" xfId="0" applyFont="1" applyFill="1" applyBorder="1" applyAlignment="1">
      <alignment horizontal="left"/>
    </xf>
    <xf numFmtId="0" fontId="5" fillId="8" borderId="1" xfId="0" applyFont="1" applyFill="1" applyBorder="1"/>
    <xf numFmtId="0" fontId="3" fillId="8" borderId="1" xfId="0" applyFont="1" applyFill="1" applyBorder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164" fontId="9" fillId="6" borderId="4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left"/>
    </xf>
    <xf numFmtId="0" fontId="4" fillId="8" borderId="4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Расходы</a:t>
            </a:r>
            <a:r>
              <a:rPr lang="ru-RU" baseline="0"/>
              <a:t> за месяц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52041101245323E-4"/>
          <c:y val="0.31205597353723441"/>
          <c:w val="0.99916472416472413"/>
          <c:h val="0.43846011409827973"/>
        </c:manualLayout>
      </c:layout>
      <c:pie3DChart>
        <c:varyColors val="1"/>
        <c:ser>
          <c:idx val="3"/>
          <c:order val="0"/>
          <c:explosion val="5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11"/>
              <c:layout>
                <c:manualLayout>
                  <c:x val="3.6390101892285295E-2"/>
                  <c:y val="-4.156275976724854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Январь!$E$14:$E$25</c:f>
              <c:numCache>
                <c:formatCode>General</c:formatCode>
                <c:ptCount val="12"/>
                <c:pt idx="0">
                  <c:v>6700</c:v>
                </c:pt>
                <c:pt idx="1">
                  <c:v>1810</c:v>
                </c:pt>
                <c:pt idx="2">
                  <c:v>3760</c:v>
                </c:pt>
                <c:pt idx="3">
                  <c:v>1350</c:v>
                </c:pt>
                <c:pt idx="4">
                  <c:v>5310</c:v>
                </c:pt>
                <c:pt idx="5">
                  <c:v>3120</c:v>
                </c:pt>
                <c:pt idx="6">
                  <c:v>7740</c:v>
                </c:pt>
                <c:pt idx="7">
                  <c:v>9950</c:v>
                </c:pt>
                <c:pt idx="8">
                  <c:v>890</c:v>
                </c:pt>
                <c:pt idx="9">
                  <c:v>7680</c:v>
                </c:pt>
                <c:pt idx="10">
                  <c:v>2690</c:v>
                </c:pt>
                <c:pt idx="11">
                  <c:v>700</c:v>
                </c:pt>
              </c:numCache>
            </c:numRef>
          </c:val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Январь!$B$14:$B$25</c:f>
              <c:strCache>
                <c:ptCount val="12"/>
                <c:pt idx="0">
                  <c:v>Автомобиль</c:v>
                </c:pt>
                <c:pt idx="1">
                  <c:v>Бытовые нужды</c:v>
                </c:pt>
                <c:pt idx="2">
                  <c:v>Вредные привычки</c:v>
                </c:pt>
                <c:pt idx="3">
                  <c:v>Гигиена и здоровье</c:v>
                </c:pt>
                <c:pt idx="4">
                  <c:v>Дети</c:v>
                </c:pt>
                <c:pt idx="5">
                  <c:v>Квартплата</c:v>
                </c:pt>
                <c:pt idx="6">
                  <c:v>Кредит/долги</c:v>
                </c:pt>
                <c:pt idx="7">
                  <c:v>Одежда и косметика</c:v>
                </c:pt>
                <c:pt idx="8">
                  <c:v>Поездки (транспорт, такси)</c:v>
                </c:pt>
                <c:pt idx="9">
                  <c:v>Продукты питания</c:v>
                </c:pt>
                <c:pt idx="10">
                  <c:v>Развлечения и подарки</c:v>
                </c:pt>
                <c:pt idx="11">
                  <c:v>Связь (телефон, интернет)</c:v>
                </c:pt>
              </c:strCache>
            </c:strRef>
          </c:cat>
          <c:val>
            <c:numRef>
              <c:f>Январь!$C$14:$C$25</c:f>
              <c:numCache>
                <c:formatCode>General</c:formatCode>
                <c:ptCount val="12"/>
              </c:numCache>
            </c:numRef>
          </c:val>
        </c:ser>
        <c:ser>
          <c:idx val="1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Январь!$B$14:$B$25</c:f>
              <c:strCache>
                <c:ptCount val="12"/>
                <c:pt idx="0">
                  <c:v>Автомобиль</c:v>
                </c:pt>
                <c:pt idx="1">
                  <c:v>Бытовые нужды</c:v>
                </c:pt>
                <c:pt idx="2">
                  <c:v>Вредные привычки</c:v>
                </c:pt>
                <c:pt idx="3">
                  <c:v>Гигиена и здоровье</c:v>
                </c:pt>
                <c:pt idx="4">
                  <c:v>Дети</c:v>
                </c:pt>
                <c:pt idx="5">
                  <c:v>Квартплата</c:v>
                </c:pt>
                <c:pt idx="6">
                  <c:v>Кредит/долги</c:v>
                </c:pt>
                <c:pt idx="7">
                  <c:v>Одежда и косметика</c:v>
                </c:pt>
                <c:pt idx="8">
                  <c:v>Поездки (транспорт, такси)</c:v>
                </c:pt>
                <c:pt idx="9">
                  <c:v>Продукты питания</c:v>
                </c:pt>
                <c:pt idx="10">
                  <c:v>Развлечения и подарки</c:v>
                </c:pt>
                <c:pt idx="11">
                  <c:v>Связь (телефон, интернет)</c:v>
                </c:pt>
              </c:strCache>
            </c:strRef>
          </c:cat>
          <c:val>
            <c:numRef>
              <c:f>Январь!$D$14:$D$25</c:f>
              <c:numCache>
                <c:formatCode>General</c:formatCode>
                <c:ptCount val="12"/>
              </c:numCache>
            </c:numRef>
          </c:val>
        </c:ser>
        <c:ser>
          <c:idx val="2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</c:dLbl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Январь!$B$14:$B$25</c:f>
              <c:strCache>
                <c:ptCount val="12"/>
                <c:pt idx="0">
                  <c:v>Автомобиль</c:v>
                </c:pt>
                <c:pt idx="1">
                  <c:v>Бытовые нужды</c:v>
                </c:pt>
                <c:pt idx="2">
                  <c:v>Вредные привычки</c:v>
                </c:pt>
                <c:pt idx="3">
                  <c:v>Гигиена и здоровье</c:v>
                </c:pt>
                <c:pt idx="4">
                  <c:v>Дети</c:v>
                </c:pt>
                <c:pt idx="5">
                  <c:v>Квартплата</c:v>
                </c:pt>
                <c:pt idx="6">
                  <c:v>Кредит/долги</c:v>
                </c:pt>
                <c:pt idx="7">
                  <c:v>Одежда и косметика</c:v>
                </c:pt>
                <c:pt idx="8">
                  <c:v>Поездки (транспорт, такси)</c:v>
                </c:pt>
                <c:pt idx="9">
                  <c:v>Продукты питания</c:v>
                </c:pt>
                <c:pt idx="10">
                  <c:v>Развлечения и подарки</c:v>
                </c:pt>
                <c:pt idx="11">
                  <c:v>Связь (телефон, интернет)</c:v>
                </c:pt>
              </c:strCache>
            </c:strRef>
          </c:cat>
          <c:val>
            <c:numRef>
              <c:f>Январь!$E$14:$E$25</c:f>
              <c:numCache>
                <c:formatCode>General</c:formatCode>
                <c:ptCount val="12"/>
                <c:pt idx="0">
                  <c:v>6700</c:v>
                </c:pt>
                <c:pt idx="1">
                  <c:v>1810</c:v>
                </c:pt>
                <c:pt idx="2">
                  <c:v>3760</c:v>
                </c:pt>
                <c:pt idx="3">
                  <c:v>1350</c:v>
                </c:pt>
                <c:pt idx="4">
                  <c:v>5310</c:v>
                </c:pt>
                <c:pt idx="5">
                  <c:v>3120</c:v>
                </c:pt>
                <c:pt idx="6">
                  <c:v>7740</c:v>
                </c:pt>
                <c:pt idx="7">
                  <c:v>9950</c:v>
                </c:pt>
                <c:pt idx="8">
                  <c:v>890</c:v>
                </c:pt>
                <c:pt idx="9">
                  <c:v>7680</c:v>
                </c:pt>
                <c:pt idx="10">
                  <c:v>2690</c:v>
                </c:pt>
                <c:pt idx="11">
                  <c:v>700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Доходы</a:t>
            </a:r>
            <a:r>
              <a:rPr lang="ru-RU" baseline="0"/>
              <a:t> за месяц</a:t>
            </a:r>
            <a:endParaRPr lang="ru-RU"/>
          </a:p>
        </c:rich>
      </c:tx>
      <c:layout>
        <c:manualLayout>
          <c:xMode val="edge"/>
          <c:yMode val="edge"/>
          <c:x val="0.36909124891498657"/>
          <c:y val="1.8503832936822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7584155191610221E-2"/>
          <c:y val="0.2066757416623477"/>
          <c:w val="0.95345134610467275"/>
          <c:h val="0.68203150855151828"/>
        </c:manualLayout>
      </c:layout>
      <c:pie3DChart>
        <c:varyColors val="1"/>
        <c:ser>
          <c:idx val="3"/>
          <c:order val="0"/>
          <c:explosion val="23"/>
          <c:dPt>
            <c:idx val="0"/>
            <c:bubble3D val="0"/>
            <c:explosion val="2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explosion val="1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3"/>
            <c:bubble3D val="0"/>
            <c:explosion val="29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4.3687199650502403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5.8249599534003153E-2"/>
                  <c:y val="-1.58604282315622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Январь!$E$5:$E$8</c:f>
              <c:numCache>
                <c:formatCode>General</c:formatCode>
                <c:ptCount val="4"/>
                <c:pt idx="0">
                  <c:v>39000</c:v>
                </c:pt>
                <c:pt idx="1">
                  <c:v>21000</c:v>
                </c:pt>
                <c:pt idx="2">
                  <c:v>3000</c:v>
                </c:pt>
                <c:pt idx="3">
                  <c:v>1500</c:v>
                </c:pt>
              </c:numCache>
            </c:numRef>
          </c:val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Январь!$B$5:$B$8</c:f>
              <c:strCache>
                <c:ptCount val="4"/>
                <c:pt idx="0">
                  <c:v>Зарплата</c:v>
                </c:pt>
                <c:pt idx="1">
                  <c:v>Подработка</c:v>
                </c:pt>
                <c:pt idx="2">
                  <c:v>Дивиденды</c:v>
                </c:pt>
                <c:pt idx="3">
                  <c:v>Разное</c:v>
                </c:pt>
              </c:strCache>
            </c:strRef>
          </c:cat>
          <c:val>
            <c:numRef>
              <c:f>Январь!$C$5:$C$8</c:f>
              <c:numCache>
                <c:formatCode>General</c:formatCode>
                <c:ptCount val="4"/>
              </c:numCache>
            </c:numRef>
          </c:val>
        </c:ser>
        <c:ser>
          <c:idx val="1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Январь!$B$5:$B$8</c:f>
              <c:strCache>
                <c:ptCount val="4"/>
                <c:pt idx="0">
                  <c:v>Зарплата</c:v>
                </c:pt>
                <c:pt idx="1">
                  <c:v>Подработка</c:v>
                </c:pt>
                <c:pt idx="2">
                  <c:v>Дивиденды</c:v>
                </c:pt>
                <c:pt idx="3">
                  <c:v>Разное</c:v>
                </c:pt>
              </c:strCache>
            </c:strRef>
          </c:cat>
          <c:val>
            <c:numRef>
              <c:f>Январь!$D$5:$D$8</c:f>
              <c:numCache>
                <c:formatCode>General</c:formatCode>
                <c:ptCount val="4"/>
              </c:numCache>
            </c:numRef>
          </c:val>
        </c:ser>
        <c:ser>
          <c:idx val="2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Январь!$B$5:$B$8</c:f>
              <c:strCache>
                <c:ptCount val="4"/>
                <c:pt idx="0">
                  <c:v>Зарплата</c:v>
                </c:pt>
                <c:pt idx="1">
                  <c:v>Подработка</c:v>
                </c:pt>
                <c:pt idx="2">
                  <c:v>Дивиденды</c:v>
                </c:pt>
                <c:pt idx="3">
                  <c:v>Разное</c:v>
                </c:pt>
              </c:strCache>
            </c:strRef>
          </c:cat>
          <c:val>
            <c:numRef>
              <c:f>Январь!$E$5:$E$8</c:f>
              <c:numCache>
                <c:formatCode>General</c:formatCode>
                <c:ptCount val="4"/>
                <c:pt idx="0">
                  <c:v>39000</c:v>
                </c:pt>
                <c:pt idx="1">
                  <c:v>21000</c:v>
                </c:pt>
                <c:pt idx="2">
                  <c:v>3000</c:v>
                </c:pt>
                <c:pt idx="3">
                  <c:v>1500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28</xdr:row>
      <xdr:rowOff>133350</xdr:rowOff>
    </xdr:from>
    <xdr:to>
      <xdr:col>12</xdr:col>
      <xdr:colOff>586740</xdr:colOff>
      <xdr:row>53</xdr:row>
      <xdr:rowOff>144780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54</xdr:row>
      <xdr:rowOff>3810</xdr:rowOff>
    </xdr:from>
    <xdr:to>
      <xdr:col>12</xdr:col>
      <xdr:colOff>571500</xdr:colOff>
      <xdr:row>80</xdr:row>
      <xdr:rowOff>53340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8"/>
  <sheetViews>
    <sheetView tabSelected="1" zoomScaleNormal="100" workbookViewId="0">
      <selection activeCell="N40" sqref="N40"/>
    </sheetView>
  </sheetViews>
  <sheetFormatPr defaultRowHeight="14.4" x14ac:dyDescent="0.3"/>
  <cols>
    <col min="1" max="1" width="4.109375" customWidth="1"/>
    <col min="2" max="2" width="8.88671875" customWidth="1"/>
    <col min="5" max="7" width="14.109375" customWidth="1"/>
    <col min="12" max="12" width="10.44140625" customWidth="1"/>
  </cols>
  <sheetData>
    <row r="1" spans="1:76" ht="21" x14ac:dyDescent="0.4">
      <c r="A1" s="28" t="s">
        <v>20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3" spans="1:76" ht="18" x14ac:dyDescent="0.35">
      <c r="A3" s="32" t="s">
        <v>32</v>
      </c>
      <c r="B3" s="33"/>
      <c r="C3" s="33"/>
      <c r="D3" s="33"/>
      <c r="E3" s="34"/>
      <c r="F3" s="35"/>
      <c r="G3" s="35"/>
      <c r="J3" s="47" t="s">
        <v>27</v>
      </c>
      <c r="K3" s="48"/>
      <c r="L3" s="49"/>
    </row>
    <row r="4" spans="1:76" ht="15.6" x14ac:dyDescent="0.3">
      <c r="A4" s="1" t="s">
        <v>13</v>
      </c>
      <c r="B4" s="15" t="s">
        <v>21</v>
      </c>
      <c r="C4" s="16"/>
      <c r="D4" s="17"/>
      <c r="E4" s="10" t="s">
        <v>22</v>
      </c>
      <c r="F4" s="36"/>
      <c r="G4" s="36"/>
      <c r="J4" s="50" t="s">
        <v>28</v>
      </c>
      <c r="K4" s="51"/>
      <c r="L4" s="31">
        <f>E9</f>
        <v>64500</v>
      </c>
    </row>
    <row r="5" spans="1:76" ht="15.6" x14ac:dyDescent="0.3">
      <c r="A5" s="3">
        <v>1</v>
      </c>
      <c r="B5" s="18" t="s">
        <v>23</v>
      </c>
      <c r="C5" s="19"/>
      <c r="D5" s="20"/>
      <c r="E5" s="11">
        <v>39000</v>
      </c>
      <c r="F5" s="37"/>
      <c r="G5" s="37"/>
      <c r="J5" s="50" t="s">
        <v>29</v>
      </c>
      <c r="K5" s="51"/>
      <c r="L5" s="31">
        <f>E26</f>
        <v>51700</v>
      </c>
    </row>
    <row r="6" spans="1:76" ht="15.6" x14ac:dyDescent="0.3">
      <c r="A6" s="3">
        <v>2</v>
      </c>
      <c r="B6" s="18" t="s">
        <v>24</v>
      </c>
      <c r="C6" s="19"/>
      <c r="D6" s="20"/>
      <c r="E6" s="11">
        <v>21000</v>
      </c>
      <c r="F6" s="37"/>
      <c r="G6" s="37"/>
      <c r="J6" s="50" t="s">
        <v>30</v>
      </c>
      <c r="K6" s="51"/>
      <c r="L6" s="30">
        <f>L4-L5</f>
        <v>12800</v>
      </c>
    </row>
    <row r="7" spans="1:76" ht="15.6" x14ac:dyDescent="0.3">
      <c r="A7" s="3">
        <v>3</v>
      </c>
      <c r="B7" s="18" t="s">
        <v>25</v>
      </c>
      <c r="C7" s="19"/>
      <c r="D7" s="20"/>
      <c r="E7" s="11">
        <v>3000</v>
      </c>
      <c r="F7" s="37"/>
      <c r="G7" s="37"/>
      <c r="J7" s="45" t="s">
        <v>35</v>
      </c>
      <c r="K7" s="46"/>
      <c r="L7" s="8">
        <f>F26</f>
        <v>45800</v>
      </c>
    </row>
    <row r="8" spans="1:76" ht="15.6" x14ac:dyDescent="0.3">
      <c r="A8" s="3">
        <v>4</v>
      </c>
      <c r="B8" s="18" t="s">
        <v>26</v>
      </c>
      <c r="C8" s="19"/>
      <c r="D8" s="20"/>
      <c r="E8" s="11">
        <v>1500</v>
      </c>
      <c r="F8" s="37"/>
      <c r="G8" s="37"/>
      <c r="J8" s="43" t="s">
        <v>36</v>
      </c>
      <c r="K8" s="44"/>
      <c r="L8" s="42">
        <f>L7-L5</f>
        <v>-5900</v>
      </c>
    </row>
    <row r="9" spans="1:76" ht="15.6" x14ac:dyDescent="0.3">
      <c r="A9" s="12" t="s">
        <v>14</v>
      </c>
      <c r="B9" s="13"/>
      <c r="C9" s="13"/>
      <c r="D9" s="14"/>
      <c r="E9" s="10">
        <f>SUM(E5:E8)</f>
        <v>64500</v>
      </c>
      <c r="F9" s="36"/>
      <c r="G9" s="36"/>
    </row>
    <row r="12" spans="1:76" ht="18" x14ac:dyDescent="0.35">
      <c r="A12" s="32" t="s">
        <v>33</v>
      </c>
      <c r="B12" s="33"/>
      <c r="C12" s="33"/>
      <c r="D12" s="33"/>
      <c r="E12" s="33"/>
      <c r="F12" s="33"/>
      <c r="G12" s="34"/>
      <c r="H12" s="29" t="s">
        <v>19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</row>
    <row r="13" spans="1:76" s="2" customFormat="1" ht="15.6" x14ac:dyDescent="0.3">
      <c r="A13" s="1" t="s">
        <v>13</v>
      </c>
      <c r="B13" s="15" t="s">
        <v>12</v>
      </c>
      <c r="C13" s="16"/>
      <c r="D13" s="17"/>
      <c r="E13" s="10" t="s">
        <v>18</v>
      </c>
      <c r="F13" s="10" t="s">
        <v>34</v>
      </c>
      <c r="G13" s="10" t="s">
        <v>31</v>
      </c>
      <c r="H13" s="6">
        <v>1</v>
      </c>
      <c r="I13" s="6">
        <v>2</v>
      </c>
      <c r="J13" s="6">
        <v>3</v>
      </c>
      <c r="K13" s="6">
        <v>4</v>
      </c>
      <c r="L13" s="6">
        <v>5</v>
      </c>
      <c r="M13" s="6">
        <v>6</v>
      </c>
      <c r="N13" s="6">
        <v>7</v>
      </c>
      <c r="O13" s="1">
        <v>8</v>
      </c>
      <c r="P13" s="1">
        <v>9</v>
      </c>
      <c r="Q13" s="1">
        <v>10</v>
      </c>
      <c r="R13" s="1">
        <v>11</v>
      </c>
      <c r="S13" s="1">
        <v>12</v>
      </c>
      <c r="T13" s="1">
        <v>13</v>
      </c>
      <c r="U13" s="1">
        <v>14</v>
      </c>
      <c r="V13" s="1">
        <v>15</v>
      </c>
      <c r="W13" s="1">
        <v>16</v>
      </c>
      <c r="X13" s="1">
        <v>17</v>
      </c>
      <c r="Y13" s="1">
        <v>18</v>
      </c>
      <c r="Z13" s="1">
        <v>19</v>
      </c>
      <c r="AA13" s="1">
        <v>20</v>
      </c>
      <c r="AB13" s="1">
        <v>21</v>
      </c>
      <c r="AC13" s="1">
        <v>22</v>
      </c>
      <c r="AD13" s="1">
        <v>23</v>
      </c>
      <c r="AE13" s="1">
        <v>24</v>
      </c>
      <c r="AF13" s="1">
        <v>25</v>
      </c>
      <c r="AG13" s="1">
        <v>26</v>
      </c>
      <c r="AH13" s="1">
        <v>27</v>
      </c>
      <c r="AI13" s="1">
        <v>28</v>
      </c>
      <c r="AJ13" s="1">
        <v>29</v>
      </c>
      <c r="AK13" s="1">
        <v>30</v>
      </c>
      <c r="AL13" s="1">
        <v>31</v>
      </c>
    </row>
    <row r="14" spans="1:76" s="2" customFormat="1" ht="15.6" x14ac:dyDescent="0.3">
      <c r="A14" s="3">
        <v>1</v>
      </c>
      <c r="B14" s="18" t="s">
        <v>0</v>
      </c>
      <c r="C14" s="19"/>
      <c r="D14" s="20"/>
      <c r="E14" s="10">
        <f t="shared" ref="E14:E25" si="0">SUM(H14:AL14)</f>
        <v>6700</v>
      </c>
      <c r="F14" s="10">
        <v>5000</v>
      </c>
      <c r="G14" s="40">
        <f>F14-E14</f>
        <v>-1700</v>
      </c>
      <c r="H14" s="7">
        <v>2000</v>
      </c>
      <c r="I14" s="7"/>
      <c r="J14" s="7"/>
      <c r="K14" s="7">
        <v>1500</v>
      </c>
      <c r="L14" s="7"/>
      <c r="M14" s="7"/>
      <c r="N14" s="7"/>
      <c r="O14" s="5">
        <v>3200</v>
      </c>
      <c r="P14" s="5"/>
      <c r="Q14" s="5"/>
      <c r="R14" s="5"/>
      <c r="S14" s="5"/>
      <c r="T14" s="5"/>
      <c r="U14" s="5"/>
      <c r="V14" s="7"/>
      <c r="W14" s="7"/>
      <c r="X14" s="7"/>
      <c r="Y14" s="7"/>
      <c r="Z14" s="7"/>
      <c r="AA14" s="7"/>
      <c r="AB14" s="7"/>
      <c r="AC14" s="5"/>
      <c r="AD14" s="5"/>
      <c r="AE14" s="5"/>
      <c r="AF14" s="5"/>
      <c r="AG14" s="5"/>
      <c r="AH14" s="5"/>
      <c r="AI14" s="5"/>
      <c r="AJ14" s="7"/>
      <c r="AK14" s="7"/>
      <c r="AL14" s="7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</row>
    <row r="15" spans="1:76" s="2" customFormat="1" ht="15.6" x14ac:dyDescent="0.3">
      <c r="A15" s="3">
        <v>2</v>
      </c>
      <c r="B15" s="18" t="s">
        <v>1</v>
      </c>
      <c r="C15" s="19"/>
      <c r="D15" s="20"/>
      <c r="E15" s="10">
        <f t="shared" si="0"/>
        <v>1810</v>
      </c>
      <c r="F15" s="10">
        <v>1500</v>
      </c>
      <c r="G15" s="40">
        <f>F15-E15</f>
        <v>-310</v>
      </c>
      <c r="H15" s="7"/>
      <c r="I15" s="7">
        <v>300</v>
      </c>
      <c r="J15" s="7"/>
      <c r="K15" s="7"/>
      <c r="L15" s="7"/>
      <c r="M15" s="7"/>
      <c r="N15" s="7">
        <v>630</v>
      </c>
      <c r="O15" s="5">
        <v>200</v>
      </c>
      <c r="P15" s="5"/>
      <c r="Q15" s="5"/>
      <c r="R15" s="5">
        <v>680</v>
      </c>
      <c r="S15" s="5"/>
      <c r="T15" s="5"/>
      <c r="U15" s="5"/>
      <c r="V15" s="7"/>
      <c r="W15" s="7"/>
      <c r="X15" s="7"/>
      <c r="Y15" s="7"/>
      <c r="Z15" s="7"/>
      <c r="AA15" s="7"/>
      <c r="AB15" s="7"/>
      <c r="AC15" s="5"/>
      <c r="AD15" s="5"/>
      <c r="AE15" s="5"/>
      <c r="AF15" s="5"/>
      <c r="AG15" s="5"/>
      <c r="AH15" s="5"/>
      <c r="AI15" s="5"/>
      <c r="AJ15" s="7"/>
      <c r="AK15" s="7"/>
      <c r="AL15" s="7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</row>
    <row r="16" spans="1:76" s="2" customFormat="1" ht="15.6" x14ac:dyDescent="0.3">
      <c r="A16" s="3">
        <v>3</v>
      </c>
      <c r="B16" s="18" t="s">
        <v>2</v>
      </c>
      <c r="C16" s="19"/>
      <c r="D16" s="20"/>
      <c r="E16" s="10">
        <f t="shared" si="0"/>
        <v>3760</v>
      </c>
      <c r="F16" s="10">
        <v>3000</v>
      </c>
      <c r="G16" s="40">
        <f>F16-E16</f>
        <v>-760</v>
      </c>
      <c r="H16" s="7">
        <v>400</v>
      </c>
      <c r="I16" s="7">
        <v>500</v>
      </c>
      <c r="J16" s="7"/>
      <c r="K16" s="7">
        <v>400</v>
      </c>
      <c r="L16" s="7"/>
      <c r="M16" s="7">
        <v>220</v>
      </c>
      <c r="N16" s="7"/>
      <c r="O16" s="5"/>
      <c r="P16" s="5"/>
      <c r="Q16" s="5">
        <v>520</v>
      </c>
      <c r="R16" s="5"/>
      <c r="S16" s="5"/>
      <c r="T16" s="5">
        <v>920</v>
      </c>
      <c r="U16" s="5"/>
      <c r="V16" s="7">
        <v>800</v>
      </c>
      <c r="W16" s="7"/>
      <c r="X16" s="7"/>
      <c r="Y16" s="7"/>
      <c r="Z16" s="7"/>
      <c r="AA16" s="7"/>
      <c r="AB16" s="7"/>
      <c r="AC16" s="5"/>
      <c r="AD16" s="5"/>
      <c r="AE16" s="5"/>
      <c r="AF16" s="5"/>
      <c r="AG16" s="5"/>
      <c r="AH16" s="5"/>
      <c r="AI16" s="5"/>
      <c r="AJ16" s="7"/>
      <c r="AK16" s="7"/>
      <c r="AL16" s="7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</row>
    <row r="17" spans="1:76" s="2" customFormat="1" ht="15.6" x14ac:dyDescent="0.3">
      <c r="A17" s="3">
        <v>4</v>
      </c>
      <c r="B17" s="18" t="s">
        <v>3</v>
      </c>
      <c r="C17" s="19"/>
      <c r="D17" s="20"/>
      <c r="E17" s="10">
        <f t="shared" si="0"/>
        <v>1350</v>
      </c>
      <c r="F17" s="10">
        <v>1000</v>
      </c>
      <c r="G17" s="40">
        <f>F17-E17</f>
        <v>-350</v>
      </c>
      <c r="H17" s="7"/>
      <c r="I17" s="7">
        <v>340</v>
      </c>
      <c r="J17" s="7"/>
      <c r="K17" s="7"/>
      <c r="L17" s="7"/>
      <c r="M17" s="7"/>
      <c r="N17" s="7"/>
      <c r="O17" s="5">
        <v>800</v>
      </c>
      <c r="P17" s="5"/>
      <c r="Q17" s="5"/>
      <c r="R17" s="5"/>
      <c r="S17" s="5"/>
      <c r="T17" s="5"/>
      <c r="U17" s="5"/>
      <c r="V17" s="7"/>
      <c r="W17" s="7"/>
      <c r="X17" s="7"/>
      <c r="Y17" s="7">
        <v>210</v>
      </c>
      <c r="Z17" s="7"/>
      <c r="AA17" s="7"/>
      <c r="AB17" s="7"/>
      <c r="AC17" s="5"/>
      <c r="AD17" s="5"/>
      <c r="AE17" s="5"/>
      <c r="AF17" s="5"/>
      <c r="AG17" s="5"/>
      <c r="AH17" s="5"/>
      <c r="AI17" s="5"/>
      <c r="AJ17" s="7"/>
      <c r="AK17" s="7"/>
      <c r="AL17" s="7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</row>
    <row r="18" spans="1:76" s="2" customFormat="1" ht="15.6" x14ac:dyDescent="0.3">
      <c r="A18" s="3">
        <v>5</v>
      </c>
      <c r="B18" s="18" t="s">
        <v>4</v>
      </c>
      <c r="C18" s="19"/>
      <c r="D18" s="20"/>
      <c r="E18" s="10">
        <f t="shared" si="0"/>
        <v>5310</v>
      </c>
      <c r="F18" s="10">
        <v>6000</v>
      </c>
      <c r="G18" s="40">
        <f>F18-E18</f>
        <v>690</v>
      </c>
      <c r="H18" s="7">
        <v>120</v>
      </c>
      <c r="I18" s="7"/>
      <c r="J18" s="7">
        <v>3000</v>
      </c>
      <c r="K18" s="7"/>
      <c r="L18" s="7">
        <v>800</v>
      </c>
      <c r="M18" s="7"/>
      <c r="N18" s="7">
        <v>150</v>
      </c>
      <c r="O18" s="5"/>
      <c r="P18" s="5">
        <v>200</v>
      </c>
      <c r="Q18" s="5"/>
      <c r="R18" s="5"/>
      <c r="S18" s="5">
        <v>820</v>
      </c>
      <c r="T18" s="5"/>
      <c r="U18" s="5">
        <v>220</v>
      </c>
      <c r="V18" s="7"/>
      <c r="W18" s="7"/>
      <c r="X18" s="7"/>
      <c r="Y18" s="7"/>
      <c r="Z18" s="7"/>
      <c r="AA18" s="7"/>
      <c r="AB18" s="7"/>
      <c r="AC18" s="5"/>
      <c r="AD18" s="5"/>
      <c r="AE18" s="5"/>
      <c r="AF18" s="5"/>
      <c r="AG18" s="5"/>
      <c r="AH18" s="5"/>
      <c r="AI18" s="5"/>
      <c r="AJ18" s="7"/>
      <c r="AK18" s="7"/>
      <c r="AL18" s="7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</row>
    <row r="19" spans="1:76" s="2" customFormat="1" ht="15.6" x14ac:dyDescent="0.3">
      <c r="A19" s="3">
        <v>6</v>
      </c>
      <c r="B19" s="18" t="s">
        <v>5</v>
      </c>
      <c r="C19" s="19"/>
      <c r="D19" s="20"/>
      <c r="E19" s="10">
        <f t="shared" si="0"/>
        <v>3120</v>
      </c>
      <c r="F19" s="10">
        <v>3000</v>
      </c>
      <c r="G19" s="40">
        <f>F19-E19</f>
        <v>-120</v>
      </c>
      <c r="H19" s="7"/>
      <c r="I19" s="7">
        <v>2500</v>
      </c>
      <c r="J19" s="7"/>
      <c r="K19" s="7"/>
      <c r="L19" s="7"/>
      <c r="M19" s="7"/>
      <c r="N19" s="7"/>
      <c r="O19" s="5"/>
      <c r="P19" s="5"/>
      <c r="Q19" s="5"/>
      <c r="R19" s="5"/>
      <c r="S19" s="5"/>
      <c r="T19" s="5"/>
      <c r="U19" s="5"/>
      <c r="V19" s="7"/>
      <c r="W19" s="7"/>
      <c r="X19" s="7"/>
      <c r="Y19" s="7">
        <v>620</v>
      </c>
      <c r="Z19" s="7"/>
      <c r="AA19" s="7"/>
      <c r="AB19" s="7"/>
      <c r="AC19" s="5"/>
      <c r="AD19" s="5"/>
      <c r="AE19" s="5"/>
      <c r="AF19" s="5"/>
      <c r="AG19" s="5"/>
      <c r="AH19" s="5"/>
      <c r="AI19" s="5"/>
      <c r="AJ19" s="7"/>
      <c r="AK19" s="7"/>
      <c r="AL19" s="7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</row>
    <row r="20" spans="1:76" s="2" customFormat="1" ht="15.6" x14ac:dyDescent="0.3">
      <c r="A20" s="3">
        <v>7</v>
      </c>
      <c r="B20" s="18" t="s">
        <v>6</v>
      </c>
      <c r="C20" s="19"/>
      <c r="D20" s="20"/>
      <c r="E20" s="10">
        <f t="shared" si="0"/>
        <v>7740</v>
      </c>
      <c r="F20" s="10">
        <v>7700</v>
      </c>
      <c r="G20" s="40">
        <f>F20-E20</f>
        <v>-40</v>
      </c>
      <c r="H20" s="7"/>
      <c r="I20" s="7"/>
      <c r="J20" s="7">
        <v>5000</v>
      </c>
      <c r="K20" s="7"/>
      <c r="L20" s="7"/>
      <c r="M20" s="7">
        <v>500</v>
      </c>
      <c r="N20" s="7"/>
      <c r="O20" s="5">
        <v>620</v>
      </c>
      <c r="P20" s="5"/>
      <c r="Q20" s="5">
        <v>420</v>
      </c>
      <c r="R20" s="5"/>
      <c r="S20" s="5"/>
      <c r="T20" s="5"/>
      <c r="U20" s="5"/>
      <c r="V20" s="7"/>
      <c r="W20" s="7">
        <v>1200</v>
      </c>
      <c r="X20" s="7"/>
      <c r="Y20" s="7"/>
      <c r="Z20" s="7"/>
      <c r="AA20" s="7"/>
      <c r="AB20" s="7"/>
      <c r="AC20" s="5"/>
      <c r="AD20" s="5"/>
      <c r="AE20" s="5"/>
      <c r="AF20" s="5"/>
      <c r="AG20" s="5"/>
      <c r="AH20" s="5"/>
      <c r="AI20" s="5"/>
      <c r="AJ20" s="7"/>
      <c r="AK20" s="7"/>
      <c r="AL20" s="7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</row>
    <row r="21" spans="1:76" s="2" customFormat="1" ht="15.6" x14ac:dyDescent="0.3">
      <c r="A21" s="3">
        <v>8</v>
      </c>
      <c r="B21" s="18" t="s">
        <v>7</v>
      </c>
      <c r="C21" s="19"/>
      <c r="D21" s="20"/>
      <c r="E21" s="10">
        <f t="shared" si="0"/>
        <v>9950</v>
      </c>
      <c r="F21" s="10">
        <v>6000</v>
      </c>
      <c r="G21" s="40">
        <f>F21-E21</f>
        <v>-3950</v>
      </c>
      <c r="H21" s="7">
        <v>3000</v>
      </c>
      <c r="I21" s="7"/>
      <c r="J21" s="7"/>
      <c r="K21" s="7">
        <v>550</v>
      </c>
      <c r="L21" s="7"/>
      <c r="M21" s="7"/>
      <c r="N21" s="7"/>
      <c r="O21" s="5"/>
      <c r="P21" s="5"/>
      <c r="Q21" s="5"/>
      <c r="R21" s="5">
        <v>5600</v>
      </c>
      <c r="S21" s="5"/>
      <c r="T21" s="5">
        <v>800</v>
      </c>
      <c r="U21" s="5"/>
      <c r="V21" s="7"/>
      <c r="W21" s="7"/>
      <c r="X21" s="7"/>
      <c r="Y21" s="7"/>
      <c r="Z21" s="7"/>
      <c r="AA21" s="7"/>
      <c r="AB21" s="7"/>
      <c r="AC21" s="5"/>
      <c r="AD21" s="5"/>
      <c r="AE21" s="5"/>
      <c r="AF21" s="5"/>
      <c r="AG21" s="5"/>
      <c r="AH21" s="5"/>
      <c r="AI21" s="5"/>
      <c r="AJ21" s="7"/>
      <c r="AK21" s="7"/>
      <c r="AL21" s="7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</row>
    <row r="22" spans="1:76" s="2" customFormat="1" ht="15.6" x14ac:dyDescent="0.3">
      <c r="A22" s="3">
        <v>9</v>
      </c>
      <c r="B22" s="27" t="s">
        <v>8</v>
      </c>
      <c r="C22" s="27"/>
      <c r="D22" s="27"/>
      <c r="E22" s="10">
        <f t="shared" si="0"/>
        <v>890</v>
      </c>
      <c r="F22" s="10">
        <v>1000</v>
      </c>
      <c r="G22" s="40">
        <f>F22-E22</f>
        <v>110</v>
      </c>
      <c r="H22" s="7"/>
      <c r="I22" s="7">
        <v>300</v>
      </c>
      <c r="J22" s="7"/>
      <c r="K22" s="7"/>
      <c r="L22" s="7">
        <v>250</v>
      </c>
      <c r="M22" s="7"/>
      <c r="N22" s="7"/>
      <c r="O22" s="5">
        <v>340</v>
      </c>
      <c r="P22" s="5"/>
      <c r="Q22" s="5"/>
      <c r="R22" s="5"/>
      <c r="S22" s="5"/>
      <c r="T22" s="5"/>
      <c r="U22" s="5"/>
      <c r="V22" s="7"/>
      <c r="W22" s="7"/>
      <c r="X22" s="7"/>
      <c r="Y22" s="7"/>
      <c r="Z22" s="7"/>
      <c r="AA22" s="7"/>
      <c r="AB22" s="7"/>
      <c r="AC22" s="5"/>
      <c r="AD22" s="5"/>
      <c r="AE22" s="5"/>
      <c r="AF22" s="5"/>
      <c r="AG22" s="5"/>
      <c r="AH22" s="5"/>
      <c r="AI22" s="5"/>
      <c r="AJ22" s="7"/>
      <c r="AK22" s="7"/>
      <c r="AL22" s="7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</row>
    <row r="23" spans="1:76" s="2" customFormat="1" ht="15.6" x14ac:dyDescent="0.3">
      <c r="A23" s="3">
        <v>10</v>
      </c>
      <c r="B23" s="27" t="s">
        <v>9</v>
      </c>
      <c r="C23" s="27"/>
      <c r="D23" s="27"/>
      <c r="E23" s="10">
        <f t="shared" si="0"/>
        <v>7680</v>
      </c>
      <c r="F23" s="10">
        <v>8000</v>
      </c>
      <c r="G23" s="40">
        <f>F23-E23</f>
        <v>320</v>
      </c>
      <c r="H23" s="7">
        <v>250</v>
      </c>
      <c r="I23" s="7"/>
      <c r="J23" s="7">
        <v>2000</v>
      </c>
      <c r="K23" s="7"/>
      <c r="L23" s="7"/>
      <c r="M23" s="7">
        <v>250</v>
      </c>
      <c r="N23" s="7"/>
      <c r="O23" s="5"/>
      <c r="P23" s="5"/>
      <c r="Q23" s="5"/>
      <c r="R23" s="5"/>
      <c r="S23" s="5"/>
      <c r="T23" s="5">
        <v>4550</v>
      </c>
      <c r="U23" s="5"/>
      <c r="V23" s="7"/>
      <c r="W23" s="7"/>
      <c r="X23" s="7">
        <v>630</v>
      </c>
      <c r="Y23" s="7"/>
      <c r="Z23" s="7"/>
      <c r="AA23" s="7"/>
      <c r="AB23" s="7"/>
      <c r="AC23" s="5"/>
      <c r="AD23" s="5"/>
      <c r="AE23" s="5"/>
      <c r="AF23" s="5"/>
      <c r="AG23" s="5"/>
      <c r="AH23" s="5"/>
      <c r="AI23" s="5"/>
      <c r="AJ23" s="7"/>
      <c r="AK23" s="7"/>
      <c r="AL23" s="7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</row>
    <row r="24" spans="1:76" s="2" customFormat="1" ht="15.6" x14ac:dyDescent="0.3">
      <c r="A24" s="3">
        <v>11</v>
      </c>
      <c r="B24" s="27" t="s">
        <v>10</v>
      </c>
      <c r="C24" s="27"/>
      <c r="D24" s="27"/>
      <c r="E24" s="10">
        <f t="shared" si="0"/>
        <v>2690</v>
      </c>
      <c r="F24" s="10">
        <v>3000</v>
      </c>
      <c r="G24" s="40">
        <f>F24-E24</f>
        <v>310</v>
      </c>
      <c r="H24" s="7"/>
      <c r="I24" s="7">
        <v>500</v>
      </c>
      <c r="J24" s="7"/>
      <c r="K24" s="7">
        <v>100</v>
      </c>
      <c r="L24" s="7"/>
      <c r="M24" s="7"/>
      <c r="N24" s="7">
        <v>810</v>
      </c>
      <c r="O24" s="5"/>
      <c r="P24" s="5"/>
      <c r="Q24" s="5"/>
      <c r="R24" s="5"/>
      <c r="S24" s="5">
        <v>1100</v>
      </c>
      <c r="T24" s="5"/>
      <c r="U24" s="5">
        <v>180</v>
      </c>
      <c r="V24" s="7"/>
      <c r="W24" s="7"/>
      <c r="X24" s="7"/>
      <c r="Y24" s="7"/>
      <c r="Z24" s="7"/>
      <c r="AA24" s="7"/>
      <c r="AB24" s="7"/>
      <c r="AC24" s="5"/>
      <c r="AD24" s="5"/>
      <c r="AE24" s="5"/>
      <c r="AF24" s="5"/>
      <c r="AG24" s="5"/>
      <c r="AH24" s="5"/>
      <c r="AI24" s="5"/>
      <c r="AJ24" s="7"/>
      <c r="AK24" s="7"/>
      <c r="AL24" s="7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</row>
    <row r="25" spans="1:76" s="2" customFormat="1" ht="15.6" x14ac:dyDescent="0.3">
      <c r="A25" s="3">
        <v>12</v>
      </c>
      <c r="B25" s="4" t="s">
        <v>11</v>
      </c>
      <c r="C25" s="4"/>
      <c r="D25" s="4"/>
      <c r="E25" s="10">
        <f t="shared" si="0"/>
        <v>700</v>
      </c>
      <c r="F25" s="10">
        <v>600</v>
      </c>
      <c r="G25" s="40">
        <f>F25-E25</f>
        <v>-100</v>
      </c>
      <c r="H25" s="7">
        <v>100</v>
      </c>
      <c r="I25" s="7"/>
      <c r="J25" s="7"/>
      <c r="K25" s="7"/>
      <c r="L25" s="7">
        <v>400</v>
      </c>
      <c r="M25" s="7"/>
      <c r="N25" s="7"/>
      <c r="O25" s="5">
        <v>200</v>
      </c>
      <c r="P25" s="5"/>
      <c r="Q25" s="5"/>
      <c r="R25" s="5"/>
      <c r="S25" s="5"/>
      <c r="T25" s="5"/>
      <c r="U25" s="5"/>
      <c r="V25" s="7"/>
      <c r="W25" s="7"/>
      <c r="X25" s="7"/>
      <c r="Y25" s="7"/>
      <c r="Z25" s="7"/>
      <c r="AA25" s="7"/>
      <c r="AB25" s="7"/>
      <c r="AC25" s="5"/>
      <c r="AD25" s="5"/>
      <c r="AE25" s="5"/>
      <c r="AF25" s="5"/>
      <c r="AG25" s="5"/>
      <c r="AH25" s="5"/>
      <c r="AI25" s="5"/>
      <c r="AJ25" s="7"/>
      <c r="AK25" s="7"/>
      <c r="AL25" s="7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</row>
    <row r="26" spans="1:76" s="2" customFormat="1" ht="15.6" x14ac:dyDescent="0.3">
      <c r="A26" s="12" t="s">
        <v>16</v>
      </c>
      <c r="B26" s="13"/>
      <c r="C26" s="13"/>
      <c r="D26" s="13"/>
      <c r="E26" s="39">
        <f>SUM(E14:E25)</f>
        <v>51700</v>
      </c>
      <c r="F26" s="38">
        <f>SUM(F14:F25)</f>
        <v>45800</v>
      </c>
      <c r="G26" s="41">
        <f>SUM(G14:G25)</f>
        <v>-5900</v>
      </c>
      <c r="H26" s="7"/>
      <c r="I26" s="7"/>
      <c r="J26" s="7"/>
      <c r="K26" s="7"/>
      <c r="L26" s="7"/>
      <c r="M26" s="7"/>
      <c r="N26" s="7"/>
      <c r="O26" s="5"/>
      <c r="P26" s="5"/>
      <c r="Q26" s="5"/>
      <c r="R26" s="5"/>
      <c r="S26" s="5"/>
      <c r="T26" s="5"/>
      <c r="U26" s="5"/>
      <c r="V26" s="7"/>
      <c r="W26" s="7"/>
      <c r="X26" s="7"/>
      <c r="Y26" s="7"/>
      <c r="Z26" s="7"/>
      <c r="AA26" s="7"/>
      <c r="AB26" s="7"/>
      <c r="AC26" s="5"/>
      <c r="AD26" s="5"/>
      <c r="AE26" s="5"/>
      <c r="AF26" s="5"/>
      <c r="AG26" s="5"/>
      <c r="AH26" s="5"/>
      <c r="AI26" s="5"/>
      <c r="AJ26" s="7"/>
      <c r="AK26" s="7"/>
      <c r="AL26" s="7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</row>
    <row r="27" spans="1:76" s="2" customFormat="1" ht="15.6" x14ac:dyDescent="0.3">
      <c r="A27" s="24" t="s">
        <v>15</v>
      </c>
      <c r="B27" s="25"/>
      <c r="C27" s="25"/>
      <c r="D27" s="25"/>
      <c r="E27" s="25"/>
      <c r="F27" s="25"/>
      <c r="G27" s="26"/>
      <c r="H27" s="1">
        <f t="shared" ref="H27:AL27" si="1">SUM(H14:H25)</f>
        <v>5870</v>
      </c>
      <c r="I27" s="1">
        <f t="shared" si="1"/>
        <v>4440</v>
      </c>
      <c r="J27" s="1">
        <f t="shared" si="1"/>
        <v>10000</v>
      </c>
      <c r="K27" s="1">
        <f t="shared" si="1"/>
        <v>2550</v>
      </c>
      <c r="L27" s="1">
        <f t="shared" si="1"/>
        <v>1450</v>
      </c>
      <c r="M27" s="1">
        <f t="shared" si="1"/>
        <v>970</v>
      </c>
      <c r="N27" s="1">
        <f t="shared" si="1"/>
        <v>1590</v>
      </c>
      <c r="O27" s="1">
        <f t="shared" si="1"/>
        <v>5360</v>
      </c>
      <c r="P27" s="1">
        <f t="shared" si="1"/>
        <v>200</v>
      </c>
      <c r="Q27" s="1">
        <f t="shared" si="1"/>
        <v>940</v>
      </c>
      <c r="R27" s="1">
        <f t="shared" si="1"/>
        <v>6280</v>
      </c>
      <c r="S27" s="1">
        <f t="shared" si="1"/>
        <v>1920</v>
      </c>
      <c r="T27" s="1">
        <f t="shared" si="1"/>
        <v>6270</v>
      </c>
      <c r="U27" s="1">
        <f t="shared" si="1"/>
        <v>400</v>
      </c>
      <c r="V27" s="1">
        <f t="shared" si="1"/>
        <v>800</v>
      </c>
      <c r="W27" s="1">
        <f t="shared" si="1"/>
        <v>1200</v>
      </c>
      <c r="X27" s="1">
        <f t="shared" si="1"/>
        <v>630</v>
      </c>
      <c r="Y27" s="1">
        <f t="shared" si="1"/>
        <v>830</v>
      </c>
      <c r="Z27" s="1">
        <f t="shared" si="1"/>
        <v>0</v>
      </c>
      <c r="AA27" s="1">
        <f t="shared" si="1"/>
        <v>0</v>
      </c>
      <c r="AB27" s="1">
        <f t="shared" si="1"/>
        <v>0</v>
      </c>
      <c r="AC27" s="1">
        <f t="shared" si="1"/>
        <v>0</v>
      </c>
      <c r="AD27" s="1">
        <f t="shared" si="1"/>
        <v>0</v>
      </c>
      <c r="AE27" s="1">
        <f t="shared" si="1"/>
        <v>0</v>
      </c>
      <c r="AF27" s="1">
        <f t="shared" si="1"/>
        <v>0</v>
      </c>
      <c r="AG27" s="1">
        <f t="shared" si="1"/>
        <v>0</v>
      </c>
      <c r="AH27" s="1">
        <f t="shared" si="1"/>
        <v>0</v>
      </c>
      <c r="AI27" s="1">
        <f t="shared" si="1"/>
        <v>0</v>
      </c>
      <c r="AJ27" s="1">
        <f t="shared" si="1"/>
        <v>0</v>
      </c>
      <c r="AK27" s="1">
        <f t="shared" si="1"/>
        <v>0</v>
      </c>
      <c r="AL27" s="1">
        <f t="shared" si="1"/>
        <v>0</v>
      </c>
      <c r="AM27" s="1"/>
      <c r="AN27" s="1"/>
      <c r="AO27" s="1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</row>
    <row r="28" spans="1:76" s="9" customFormat="1" ht="15.6" x14ac:dyDescent="0.3">
      <c r="A28" s="24" t="s">
        <v>17</v>
      </c>
      <c r="B28" s="25"/>
      <c r="C28" s="25"/>
      <c r="D28" s="25"/>
      <c r="E28" s="25"/>
      <c r="F28" s="25"/>
      <c r="G28" s="26"/>
      <c r="H28" s="21">
        <f>SUM(H27:N27)</f>
        <v>26870</v>
      </c>
      <c r="I28" s="22"/>
      <c r="J28" s="22"/>
      <c r="K28" s="22"/>
      <c r="L28" s="22"/>
      <c r="M28" s="22"/>
      <c r="N28" s="23"/>
      <c r="O28" s="21">
        <f>SUM(O27:U27)</f>
        <v>21370</v>
      </c>
      <c r="P28" s="22"/>
      <c r="Q28" s="22"/>
      <c r="R28" s="22"/>
      <c r="S28" s="22"/>
      <c r="T28" s="22"/>
      <c r="U28" s="23"/>
      <c r="V28" s="21">
        <f>SUM(V27:AB27)</f>
        <v>3460</v>
      </c>
      <c r="W28" s="22"/>
      <c r="X28" s="22"/>
      <c r="Y28" s="22"/>
      <c r="Z28" s="22"/>
      <c r="AA28" s="22"/>
      <c r="AB28" s="23"/>
      <c r="AC28" s="21">
        <f>SUM(AC27:AI27)</f>
        <v>0</v>
      </c>
      <c r="AD28" s="22"/>
      <c r="AE28" s="22"/>
      <c r="AF28" s="22"/>
      <c r="AG28" s="22"/>
      <c r="AH28" s="22"/>
      <c r="AI28" s="23"/>
      <c r="AJ28" s="21">
        <f>SUM(AJ27:AL27)</f>
        <v>0</v>
      </c>
      <c r="AK28" s="22"/>
      <c r="AL28" s="23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</row>
  </sheetData>
  <mergeCells count="36">
    <mergeCell ref="A26:D26"/>
    <mergeCell ref="A27:G27"/>
    <mergeCell ref="A28:G28"/>
    <mergeCell ref="B20:D20"/>
    <mergeCell ref="B21:D21"/>
    <mergeCell ref="B22:D22"/>
    <mergeCell ref="B13:D13"/>
    <mergeCell ref="B14:D14"/>
    <mergeCell ref="B15:D15"/>
    <mergeCell ref="B16:D16"/>
    <mergeCell ref="B17:D17"/>
    <mergeCell ref="A1:L1"/>
    <mergeCell ref="H12:AL12"/>
    <mergeCell ref="B18:D18"/>
    <mergeCell ref="B19:D19"/>
    <mergeCell ref="J4:K4"/>
    <mergeCell ref="J5:K5"/>
    <mergeCell ref="J6:K6"/>
    <mergeCell ref="J3:L3"/>
    <mergeCell ref="A12:G12"/>
    <mergeCell ref="J7:K7"/>
    <mergeCell ref="J8:K8"/>
    <mergeCell ref="B23:D23"/>
    <mergeCell ref="B24:D24"/>
    <mergeCell ref="O28:U28"/>
    <mergeCell ref="V28:AB28"/>
    <mergeCell ref="AC28:AI28"/>
    <mergeCell ref="AJ28:AL28"/>
    <mergeCell ref="H28:N28"/>
    <mergeCell ref="A9:D9"/>
    <mergeCell ref="A3:E3"/>
    <mergeCell ref="B4:D4"/>
    <mergeCell ref="B5:D5"/>
    <mergeCell ref="B6:D6"/>
    <mergeCell ref="B7:D7"/>
    <mergeCell ref="B8:D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Январь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2018-02-27T08:49:47Z</dcterms:modified>
</cp:coreProperties>
</file>